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rend\Documents\franklin-service-requests\"/>
    </mc:Choice>
  </mc:AlternateContent>
  <xr:revisionPtr revIDLastSave="0" documentId="8_{B5C26A8C-C159-4EF3-B3CD-26301199691F}" xr6:coauthVersionLast="47" xr6:coauthVersionMax="47" xr10:uidLastSave="{00000000-0000-0000-0000-000000000000}"/>
  <bookViews>
    <workbookView xWindow="-24120" yWindow="-105" windowWidth="24240" windowHeight="13020" xr2:uid="{C1A158F1-E644-4A0F-A4CA-DA6BB51027D1}"/>
  </bookViews>
  <sheets>
    <sheet name="2026" sheetId="7" r:id="rId1"/>
    <sheet name="Requestor ID Key" sheetId="10" r:id="rId2"/>
    <sheet name="Status Lists" sheetId="8" r:id="rId3"/>
  </sheets>
  <definedNames>
    <definedName name="_xlnm._FilterDatabase" localSheetId="0" hidden="1">'2026'!$B$3:$Z$157</definedName>
    <definedName name="_xlnm._FilterDatabase" localSheetId="1" hidden="1">'Requestor ID Key'!$A$1:$A$106</definedName>
    <definedName name="Primary_Status">'Status Lists'!$A$2:$A$3</definedName>
    <definedName name="Secondary_Status">Table3[Secondary Status]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6" i="7" l="1"/>
  <c r="G157" i="7"/>
  <c r="O156" i="7"/>
  <c r="O157" i="7"/>
  <c r="S156" i="7"/>
  <c r="S157" i="7"/>
  <c r="A156" i="7" a="1"/>
  <c r="A156" i="7" s="1"/>
  <c r="B156" i="7" s="1"/>
  <c r="A157" i="7" a="1"/>
  <c r="A157" i="7" s="1"/>
  <c r="B157" i="7" s="1"/>
  <c r="S109" i="7" l="1"/>
  <c r="G154" i="7"/>
  <c r="G155" i="7"/>
  <c r="O154" i="7"/>
  <c r="O155" i="7"/>
  <c r="S154" i="7"/>
  <c r="S155" i="7"/>
  <c r="A154" i="7" a="1"/>
  <c r="A154" i="7" s="1"/>
  <c r="B154" i="7" s="1"/>
  <c r="A155" i="7" a="1"/>
  <c r="A155" i="7" s="1"/>
  <c r="B155" i="7" s="1"/>
  <c r="G153" i="7"/>
  <c r="O153" i="7"/>
  <c r="S153" i="7"/>
  <c r="A153" i="7" a="1"/>
  <c r="A153" i="7" s="1"/>
  <c r="B153" i="7" s="1"/>
  <c r="G152" i="7"/>
  <c r="O152" i="7"/>
  <c r="S152" i="7"/>
  <c r="A152" i="7" a="1"/>
  <c r="A152" i="7" s="1"/>
  <c r="B152" i="7" s="1"/>
  <c r="G151" i="7"/>
  <c r="O151" i="7"/>
  <c r="S151" i="7"/>
  <c r="A151" i="7" a="1"/>
  <c r="A151" i="7" s="1"/>
  <c r="B151" i="7" s="1"/>
  <c r="G150" i="7"/>
  <c r="O150" i="7"/>
  <c r="S150" i="7"/>
  <c r="A150" i="7" a="1"/>
  <c r="A150" i="7" s="1"/>
  <c r="B150" i="7" s="1"/>
  <c r="G149" i="7" l="1"/>
  <c r="O149" i="7"/>
  <c r="A149" i="7" a="1"/>
  <c r="A149" i="7" s="1"/>
  <c r="B149" i="7" s="1"/>
  <c r="G148" i="7"/>
  <c r="O148" i="7"/>
  <c r="S148" i="7"/>
  <c r="A148" i="7" a="1"/>
  <c r="A148" i="7" s="1"/>
  <c r="B148" i="7" s="1"/>
  <c r="G146" i="7"/>
  <c r="G147" i="7"/>
  <c r="O146" i="7"/>
  <c r="O147" i="7"/>
  <c r="S146" i="7"/>
  <c r="S147" i="7"/>
  <c r="A146" i="7" a="1"/>
  <c r="A146" i="7" s="1"/>
  <c r="B146" i="7" s="1"/>
  <c r="A147" i="7" a="1"/>
  <c r="A147" i="7" s="1"/>
  <c r="B147" i="7" s="1"/>
  <c r="G144" i="7"/>
  <c r="G145" i="7"/>
  <c r="O144" i="7"/>
  <c r="O145" i="7"/>
  <c r="S144" i="7"/>
  <c r="S145" i="7"/>
  <c r="A144" i="7" a="1"/>
  <c r="A144" i="7" s="1"/>
  <c r="B144" i="7" s="1"/>
  <c r="A145" i="7" a="1"/>
  <c r="A145" i="7" s="1"/>
  <c r="B145" i="7" s="1"/>
  <c r="G143" i="7" l="1"/>
  <c r="O143" i="7"/>
  <c r="S143" i="7"/>
  <c r="A143" i="7" a="1"/>
  <c r="A143" i="7" s="1"/>
  <c r="B143" i="7" s="1"/>
  <c r="G142" i="7"/>
  <c r="O142" i="7"/>
  <c r="S142" i="7"/>
  <c r="A142" i="7" a="1"/>
  <c r="A142" i="7" s="1"/>
  <c r="B142" i="7" s="1"/>
  <c r="G140" i="7"/>
  <c r="G141" i="7"/>
  <c r="O140" i="7"/>
  <c r="O141" i="7"/>
  <c r="S140" i="7"/>
  <c r="S141" i="7"/>
  <c r="A140" i="7" a="1"/>
  <c r="A140" i="7" s="1"/>
  <c r="B140" i="7" s="1"/>
  <c r="A141" i="7" a="1"/>
  <c r="A141" i="7" s="1"/>
  <c r="B141" i="7" s="1"/>
  <c r="G138" i="7"/>
  <c r="G139" i="7"/>
  <c r="O138" i="7"/>
  <c r="O139" i="7"/>
  <c r="S138" i="7"/>
  <c r="S139" i="7"/>
  <c r="A138" i="7" a="1"/>
  <c r="A138" i="7" s="1"/>
  <c r="B138" i="7" s="1"/>
  <c r="A139" i="7" a="1"/>
  <c r="A139" i="7" s="1"/>
  <c r="B139" i="7" s="1"/>
  <c r="G136" i="7"/>
  <c r="G137" i="7"/>
  <c r="O136" i="7"/>
  <c r="O137" i="7"/>
  <c r="S136" i="7"/>
  <c r="S137" i="7"/>
  <c r="A136" i="7" a="1"/>
  <c r="A136" i="7" s="1"/>
  <c r="B136" i="7" s="1"/>
  <c r="A137" i="7" a="1"/>
  <c r="A137" i="7" s="1"/>
  <c r="B137" i="7" s="1"/>
  <c r="G134" i="7"/>
  <c r="G135" i="7"/>
  <c r="O134" i="7"/>
  <c r="O135" i="7"/>
  <c r="S134" i="7"/>
  <c r="S135" i="7"/>
  <c r="A134" i="7" a="1"/>
  <c r="A134" i="7" s="1"/>
  <c r="B134" i="7" s="1"/>
  <c r="A135" i="7" a="1"/>
  <c r="A135" i="7" s="1"/>
  <c r="B135" i="7" s="1"/>
  <c r="G130" i="7"/>
  <c r="G131" i="7"/>
  <c r="G132" i="7"/>
  <c r="G133" i="7"/>
  <c r="O130" i="7"/>
  <c r="O131" i="7"/>
  <c r="O132" i="7"/>
  <c r="O133" i="7"/>
  <c r="S130" i="7"/>
  <c r="S131" i="7"/>
  <c r="S132" i="7"/>
  <c r="S133" i="7"/>
  <c r="A130" i="7" a="1"/>
  <c r="A130" i="7" s="1"/>
  <c r="B130" i="7" s="1"/>
  <c r="A131" i="7" a="1"/>
  <c r="A131" i="7" s="1"/>
  <c r="B131" i="7" s="1"/>
  <c r="A132" i="7" a="1"/>
  <c r="A132" i="7" s="1"/>
  <c r="B132" i="7" s="1"/>
  <c r="A133" i="7" a="1"/>
  <c r="A133" i="7" s="1"/>
  <c r="B133" i="7" s="1"/>
  <c r="G121" i="7"/>
  <c r="G122" i="7"/>
  <c r="G123" i="7"/>
  <c r="G124" i="7"/>
  <c r="G125" i="7"/>
  <c r="G126" i="7"/>
  <c r="G127" i="7"/>
  <c r="G128" i="7"/>
  <c r="G129" i="7"/>
  <c r="O121" i="7"/>
  <c r="O122" i="7"/>
  <c r="O123" i="7"/>
  <c r="O124" i="7"/>
  <c r="O125" i="7"/>
  <c r="O126" i="7"/>
  <c r="O127" i="7"/>
  <c r="O128" i="7"/>
  <c r="O129" i="7"/>
  <c r="S121" i="7"/>
  <c r="S122" i="7"/>
  <c r="S123" i="7"/>
  <c r="S124" i="7"/>
  <c r="S125" i="7"/>
  <c r="S126" i="7"/>
  <c r="S127" i="7"/>
  <c r="S128" i="7"/>
  <c r="S129" i="7"/>
  <c r="A121" i="7" a="1"/>
  <c r="A121" i="7" s="1"/>
  <c r="B121" i="7" s="1"/>
  <c r="A122" i="7" a="1"/>
  <c r="A122" i="7" s="1"/>
  <c r="B122" i="7" s="1"/>
  <c r="A123" i="7" a="1"/>
  <c r="A123" i="7" s="1"/>
  <c r="B123" i="7" s="1"/>
  <c r="A124" i="7" a="1"/>
  <c r="A124" i="7" s="1"/>
  <c r="B124" i="7" s="1"/>
  <c r="A125" i="7" a="1"/>
  <c r="A125" i="7" s="1"/>
  <c r="B125" i="7" s="1"/>
  <c r="A126" i="7" a="1"/>
  <c r="A126" i="7" s="1"/>
  <c r="B126" i="7" s="1"/>
  <c r="A127" i="7" a="1"/>
  <c r="A127" i="7" s="1"/>
  <c r="B127" i="7" s="1"/>
  <c r="A128" i="7" a="1"/>
  <c r="A128" i="7" s="1"/>
  <c r="B128" i="7" s="1"/>
  <c r="A129" i="7" a="1"/>
  <c r="A129" i="7" s="1"/>
  <c r="B129" i="7" s="1"/>
  <c r="Y117" i="7"/>
  <c r="Y116" i="7"/>
  <c r="Y112" i="7"/>
  <c r="Y103" i="7"/>
  <c r="Y99" i="7"/>
  <c r="Y98" i="7"/>
  <c r="Y97" i="7"/>
  <c r="Y96" i="7"/>
  <c r="Y94" i="7"/>
  <c r="Y93" i="7"/>
  <c r="Y91" i="7"/>
  <c r="Y89" i="7"/>
  <c r="Y87" i="7"/>
  <c r="Y86" i="7"/>
  <c r="Y78" i="7"/>
  <c r="Y77" i="7"/>
  <c r="Y73" i="7"/>
  <c r="Y61" i="7"/>
  <c r="Y59" i="7"/>
  <c r="Y58" i="7"/>
  <c r="Y57" i="7"/>
  <c r="Y56" i="7"/>
  <c r="Y55" i="7"/>
  <c r="Y52" i="7"/>
  <c r="Y51" i="7"/>
  <c r="Y49" i="7"/>
  <c r="Y48" i="7"/>
  <c r="Y47" i="7"/>
  <c r="Y45" i="7"/>
  <c r="Y41" i="7"/>
  <c r="Y38" i="7"/>
  <c r="Y37" i="7"/>
  <c r="Y35" i="7"/>
  <c r="Y25" i="7"/>
  <c r="Y24" i="7"/>
  <c r="Y23" i="7"/>
  <c r="Y22" i="7"/>
  <c r="Y20" i="7"/>
  <c r="Y15" i="7"/>
  <c r="G120" i="7" l="1"/>
  <c r="O120" i="7"/>
  <c r="S120" i="7"/>
  <c r="A120" i="7" a="1"/>
  <c r="A120" i="7" s="1"/>
  <c r="B120" i="7" s="1"/>
  <c r="G119" i="7"/>
  <c r="O119" i="7"/>
  <c r="S119" i="7"/>
  <c r="A119" i="7" a="1"/>
  <c r="A119" i="7" s="1"/>
  <c r="B119" i="7" s="1"/>
  <c r="S110" i="7"/>
  <c r="G118" i="7"/>
  <c r="O118" i="7"/>
  <c r="S118" i="7"/>
  <c r="A118" i="7" a="1"/>
  <c r="A118" i="7" s="1"/>
  <c r="B118" i="7" s="1"/>
  <c r="G116" i="7"/>
  <c r="G117" i="7"/>
  <c r="O116" i="7"/>
  <c r="O117" i="7"/>
  <c r="S116" i="7"/>
  <c r="S117" i="7"/>
  <c r="A116" i="7" a="1"/>
  <c r="A116" i="7" s="1"/>
  <c r="B116" i="7" s="1"/>
  <c r="A117" i="7" a="1"/>
  <c r="A117" i="7" s="1"/>
  <c r="B117" i="7" s="1"/>
  <c r="G114" i="7"/>
  <c r="G115" i="7"/>
  <c r="O114" i="7"/>
  <c r="O115" i="7"/>
  <c r="S114" i="7"/>
  <c r="S115" i="7"/>
  <c r="A114" i="7" a="1"/>
  <c r="A114" i="7" s="1"/>
  <c r="B114" i="7" s="1"/>
  <c r="A115" i="7" a="1"/>
  <c r="A115" i="7" s="1"/>
  <c r="B115" i="7" s="1"/>
  <c r="A113" i="7" a="1"/>
  <c r="A113" i="7" s="1"/>
  <c r="B113" i="7" s="1"/>
  <c r="G113" i="7"/>
  <c r="O113" i="7"/>
  <c r="S113" i="7"/>
  <c r="A112" i="7" a="1"/>
  <c r="A112" i="7" s="1"/>
  <c r="B112" i="7" s="1"/>
  <c r="G112" i="7"/>
  <c r="O112" i="7"/>
  <c r="S112" i="7"/>
  <c r="A111" i="7" a="1"/>
  <c r="A111" i="7" s="1"/>
  <c r="B111" i="7" s="1"/>
  <c r="G111" i="7"/>
  <c r="O111" i="7"/>
  <c r="S111" i="7"/>
  <c r="A110" i="7" a="1"/>
  <c r="A110" i="7" s="1"/>
  <c r="B110" i="7" s="1"/>
  <c r="G110" i="7"/>
  <c r="O110" i="7"/>
  <c r="A109" i="7" a="1"/>
  <c r="A109" i="7" s="1"/>
  <c r="B109" i="7" s="1"/>
  <c r="G109" i="7"/>
  <c r="O109" i="7"/>
  <c r="A108" i="7" a="1"/>
  <c r="A108" i="7" s="1"/>
  <c r="B108" i="7" s="1"/>
  <c r="G108" i="7"/>
  <c r="O108" i="7"/>
  <c r="S108" i="7"/>
  <c r="A107" i="7" a="1"/>
  <c r="A107" i="7" s="1"/>
  <c r="B107" i="7" s="1"/>
  <c r="G107" i="7"/>
  <c r="O107" i="7"/>
  <c r="S107" i="7"/>
  <c r="A106" i="7" a="1"/>
  <c r="A106" i="7" s="1"/>
  <c r="B106" i="7" s="1"/>
  <c r="G106" i="7"/>
  <c r="O106" i="7"/>
  <c r="S106" i="7"/>
  <c r="A105" i="7" a="1"/>
  <c r="A105" i="7" s="1"/>
  <c r="B105" i="7" s="1"/>
  <c r="G105" i="7"/>
  <c r="O105" i="7"/>
  <c r="S105" i="7"/>
  <c r="A104" i="7" a="1"/>
  <c r="A104" i="7" s="1"/>
  <c r="B104" i="7" s="1"/>
  <c r="G104" i="7"/>
  <c r="O104" i="7"/>
  <c r="S104" i="7"/>
  <c r="A103" i="7" a="1"/>
  <c r="A103" i="7" s="1"/>
  <c r="B103" i="7" s="1"/>
  <c r="G103" i="7"/>
  <c r="O103" i="7"/>
  <c r="S103" i="7"/>
  <c r="A102" i="7" a="1"/>
  <c r="A102" i="7" s="1"/>
  <c r="B102" i="7" s="1"/>
  <c r="G102" i="7"/>
  <c r="O102" i="7"/>
  <c r="S102" i="7"/>
  <c r="A101" i="7" l="1" a="1"/>
  <c r="A101" i="7" s="1"/>
  <c r="B101" i="7" s="1"/>
  <c r="G101" i="7"/>
  <c r="O101" i="7"/>
  <c r="S101" i="7"/>
  <c r="B100" i="7" l="1"/>
  <c r="G100" i="7"/>
  <c r="O100" i="7"/>
  <c r="S100" i="7"/>
  <c r="G87" i="7"/>
  <c r="B99" i="7"/>
  <c r="G99" i="7"/>
  <c r="O99" i="7"/>
  <c r="S99" i="7"/>
  <c r="B98" i="7"/>
  <c r="G98" i="7"/>
  <c r="O98" i="7"/>
  <c r="S98" i="7"/>
  <c r="B97" i="7"/>
  <c r="G97" i="7"/>
  <c r="O97" i="7"/>
  <c r="S97" i="7"/>
  <c r="B96" i="7"/>
  <c r="G96" i="7"/>
  <c r="O96" i="7"/>
  <c r="S96" i="7"/>
  <c r="B95" i="7"/>
  <c r="G95" i="7"/>
  <c r="O95" i="7"/>
  <c r="S95" i="7"/>
  <c r="B93" i="7"/>
  <c r="G93" i="7"/>
  <c r="O93" i="7"/>
  <c r="S93" i="7"/>
  <c r="B94" i="7" l="1"/>
  <c r="G94" i="7"/>
  <c r="O94" i="7"/>
  <c r="S94" i="7"/>
  <c r="B92" i="7"/>
  <c r="G92" i="7"/>
  <c r="O92" i="7"/>
  <c r="S92" i="7"/>
  <c r="B91" i="7"/>
  <c r="G91" i="7"/>
  <c r="O91" i="7"/>
  <c r="S91" i="7"/>
  <c r="S86" i="7"/>
  <c r="O86" i="7"/>
  <c r="G86" i="7"/>
  <c r="H1" i="7"/>
  <c r="B90" i="7"/>
  <c r="G90" i="7"/>
  <c r="O90" i="7"/>
  <c r="S90" i="7"/>
  <c r="B89" i="7"/>
  <c r="G89" i="7"/>
  <c r="O89" i="7"/>
  <c r="S89" i="7"/>
  <c r="B88" i="7"/>
  <c r="G88" i="7"/>
  <c r="O88" i="7"/>
  <c r="S88" i="7"/>
  <c r="B87" i="7"/>
  <c r="B86" i="7"/>
  <c r="B85" i="7" l="1"/>
  <c r="G85" i="7"/>
  <c r="O85" i="7"/>
  <c r="S85" i="7"/>
  <c r="B84" i="7"/>
  <c r="G84" i="7"/>
  <c r="O84" i="7"/>
  <c r="S84" i="7"/>
  <c r="B83" i="7"/>
  <c r="G83" i="7"/>
  <c r="O83" i="7"/>
  <c r="S83" i="7"/>
  <c r="B82" i="7"/>
  <c r="G82" i="7"/>
  <c r="O82" i="7"/>
  <c r="S82" i="7"/>
  <c r="B81" i="7"/>
  <c r="G81" i="7"/>
  <c r="O81" i="7"/>
  <c r="S81" i="7"/>
  <c r="B80" i="7"/>
  <c r="G80" i="7"/>
  <c r="O80" i="7"/>
  <c r="S80" i="7"/>
  <c r="B79" i="7"/>
  <c r="G79" i="7"/>
  <c r="O79" i="7"/>
  <c r="S79" i="7"/>
  <c r="B78" i="7"/>
  <c r="G78" i="7"/>
  <c r="O78" i="7"/>
  <c r="S78" i="7"/>
  <c r="B77" i="7"/>
  <c r="G77" i="7"/>
  <c r="O77" i="7"/>
  <c r="S77" i="7"/>
  <c r="B45" i="7" l="1"/>
  <c r="B4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6" i="7"/>
  <c r="B47" i="7"/>
  <c r="B48" i="7"/>
  <c r="B50" i="7"/>
  <c r="B49" i="7"/>
  <c r="B51" i="7"/>
  <c r="B52" i="7"/>
  <c r="B53" i="7"/>
  <c r="B54" i="7"/>
  <c r="B55" i="7"/>
  <c r="B56" i="7"/>
  <c r="B57" i="7"/>
  <c r="B58" i="7"/>
  <c r="B59" i="7"/>
  <c r="B60" i="7"/>
  <c r="B61" i="7"/>
  <c r="B62" i="7"/>
  <c r="B63" i="7"/>
  <c r="B64" i="7"/>
  <c r="B65" i="7"/>
  <c r="B66" i="7"/>
  <c r="B67" i="7"/>
  <c r="B68" i="7"/>
  <c r="B69" i="7"/>
  <c r="B70" i="7"/>
  <c r="B71" i="7"/>
  <c r="B72" i="7"/>
  <c r="B73" i="7"/>
  <c r="B74" i="7"/>
  <c r="B75" i="7"/>
  <c r="B76" i="7"/>
  <c r="B4" i="7"/>
  <c r="G76" i="7" l="1"/>
  <c r="O76" i="7"/>
  <c r="S76" i="7"/>
  <c r="G75" i="7"/>
  <c r="O75" i="7"/>
  <c r="S75" i="7"/>
  <c r="G74" i="7"/>
  <c r="O74" i="7"/>
  <c r="S74" i="7"/>
  <c r="G73" i="7"/>
  <c r="O73" i="7"/>
  <c r="S73" i="7"/>
  <c r="G72" i="7"/>
  <c r="O72" i="7"/>
  <c r="S72" i="7"/>
  <c r="G71" i="7"/>
  <c r="O71" i="7"/>
  <c r="S71" i="7"/>
  <c r="G70" i="7"/>
  <c r="O70" i="7"/>
  <c r="S70" i="7"/>
  <c r="G69" i="7"/>
  <c r="O69" i="7"/>
  <c r="S69" i="7"/>
  <c r="G68" i="7"/>
  <c r="O68" i="7"/>
  <c r="S68" i="7"/>
  <c r="G67" i="7"/>
  <c r="O67" i="7"/>
  <c r="S67" i="7"/>
  <c r="G66" i="7" l="1"/>
  <c r="O66" i="7"/>
  <c r="S66" i="7"/>
  <c r="G65" i="7" l="1"/>
  <c r="O65" i="7"/>
  <c r="S65" i="7"/>
  <c r="G64" i="7"/>
  <c r="O64" i="7"/>
  <c r="S64" i="7"/>
  <c r="G63" i="7" l="1"/>
  <c r="O63" i="7"/>
  <c r="S63" i="7"/>
  <c r="G62" i="7"/>
  <c r="O62" i="7" l="1"/>
  <c r="S62" i="7"/>
  <c r="G61" i="7"/>
  <c r="O61" i="7"/>
  <c r="S61" i="7"/>
  <c r="G60" i="7"/>
  <c r="O60" i="7"/>
  <c r="S60" i="7"/>
  <c r="G59" i="7"/>
  <c r="O59" i="7"/>
  <c r="S59" i="7"/>
  <c r="G58" i="7"/>
  <c r="O58" i="7"/>
  <c r="S58" i="7"/>
  <c r="G57" i="7"/>
  <c r="O57" i="7"/>
  <c r="S57" i="7"/>
  <c r="S6" i="7"/>
  <c r="G56" i="7"/>
  <c r="O56" i="7"/>
  <c r="S56" i="7"/>
  <c r="G55" i="7"/>
  <c r="O55" i="7"/>
  <c r="S55" i="7"/>
  <c r="G54" i="7" l="1"/>
  <c r="O54" i="7"/>
  <c r="S54" i="7"/>
  <c r="O53" i="7"/>
  <c r="G53" i="7"/>
  <c r="S53" i="7"/>
  <c r="G52" i="7"/>
  <c r="O52" i="7"/>
  <c r="S52"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5" i="7"/>
  <c r="O44" i="7"/>
  <c r="O46" i="7"/>
  <c r="O47" i="7"/>
  <c r="O48" i="7"/>
  <c r="O50" i="7"/>
  <c r="O49" i="7"/>
  <c r="O51" i="7"/>
  <c r="S4" i="7"/>
  <c r="S5"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5" i="7"/>
  <c r="S44" i="7"/>
  <c r="S46" i="7"/>
  <c r="S47" i="7"/>
  <c r="S48" i="7"/>
  <c r="S50" i="7"/>
  <c r="S49" i="7"/>
  <c r="S51"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5" i="7"/>
  <c r="G44" i="7"/>
  <c r="G46" i="7"/>
  <c r="G47" i="7"/>
  <c r="G48" i="7"/>
  <c r="G50" i="7"/>
  <c r="G49" i="7"/>
  <c r="G5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<sst xmlns="http://schemas.openxmlformats.org/spreadsheetml/2006/main" count="1471" uniqueCount="607">
  <si>
    <t>Service Request Log</t>
  </si>
  <si>
    <t>Date of Complaint:</t>
  </si>
  <si>
    <t>Location of Problem:</t>
  </si>
  <si>
    <t>Problem (Brief):</t>
  </si>
  <si>
    <t>2ndary Dept.</t>
  </si>
  <si>
    <t>Date Sent:</t>
  </si>
  <si>
    <t>Contact Name/Number</t>
  </si>
  <si>
    <t>Closed Date:</t>
  </si>
  <si>
    <t>Extra Notes:</t>
  </si>
  <si>
    <t>Fire/Code</t>
  </si>
  <si>
    <t>MSD</t>
  </si>
  <si>
    <t>City Manager</t>
  </si>
  <si>
    <t>528 Prospect St</t>
  </si>
  <si>
    <t>City Attorney</t>
  </si>
  <si>
    <t>91A Request</t>
  </si>
  <si>
    <t>Anonymous</t>
  </si>
  <si>
    <t>141 Webster Ave</t>
  </si>
  <si>
    <t>Pothole</t>
  </si>
  <si>
    <t>Potholes</t>
  </si>
  <si>
    <t>80 Beech St</t>
  </si>
  <si>
    <t>159 Central St</t>
  </si>
  <si>
    <t>Finance</t>
  </si>
  <si>
    <t>Closed</t>
  </si>
  <si>
    <t>83 Gilman St</t>
  </si>
  <si>
    <t>P&amp;R</t>
  </si>
  <si>
    <t>Downtown Crepes</t>
  </si>
  <si>
    <t>David Chunn</t>
  </si>
  <si>
    <t>Received By:</t>
  </si>
  <si>
    <t>kj</t>
  </si>
  <si>
    <t>Desiree McLaughlin</t>
  </si>
  <si>
    <t>Gerard Desrochers; 603-998-9634; g.desrochers42@gmail.com</t>
  </si>
  <si>
    <t>Calef Hill Rd</t>
  </si>
  <si>
    <t>Summit St.</t>
  </si>
  <si>
    <t>Michael Landry; 603-393-8160; michalelandry603@gmail.com</t>
  </si>
  <si>
    <t>Marceau Park</t>
  </si>
  <si>
    <t>unfounded</t>
  </si>
  <si>
    <t>1 Country Lane</t>
  </si>
  <si>
    <t>Diane Roberts; 603-848-6513</t>
  </si>
  <si>
    <t>resolved</t>
  </si>
  <si>
    <t>Running count of all 91-A Requests:</t>
  </si>
  <si>
    <t>91 A Specific Tracking Columns</t>
  </si>
  <si>
    <t>Count</t>
  </si>
  <si>
    <t>Service Request #:</t>
  </si>
  <si>
    <t>Request Topic</t>
  </si>
  <si>
    <t>Days Open:</t>
  </si>
  <si>
    <t>Primary Status</t>
  </si>
  <si>
    <t>Secondary Status</t>
  </si>
  <si>
    <t>Primary Dept:</t>
  </si>
  <si>
    <t>Requestor name</t>
  </si>
  <si>
    <t>Requestor ID</t>
  </si>
  <si>
    <t>Date Acknowledged</t>
  </si>
  <si>
    <t>Follow Up Due Date:</t>
  </si>
  <si>
    <t>Days Til Closed:</t>
  </si>
  <si>
    <t>Number of Records</t>
  </si>
  <si>
    <t>Hours Worked To Date</t>
  </si>
  <si>
    <t>Fees Assessed</t>
  </si>
  <si>
    <t>Fees Collected</t>
  </si>
  <si>
    <t>Hours Worked (Closed)</t>
  </si>
  <si>
    <t>need street lights in area of 85-87, also need "watch for children" signs</t>
  </si>
  <si>
    <t>Open</t>
  </si>
  <si>
    <t>Missing Documentation</t>
  </si>
  <si>
    <t>Michael Landry</t>
  </si>
  <si>
    <t>39 Duffy St</t>
  </si>
  <si>
    <t>plowing but not sanding road;  looking to get 1-2 XL trash cans</t>
  </si>
  <si>
    <t>Documentation Complete</t>
  </si>
  <si>
    <t>Kerry Ranelli</t>
  </si>
  <si>
    <t>Kerry Ranelli; kerryranelli@gmail.com</t>
  </si>
  <si>
    <t>143 New Hampton Rd</t>
  </si>
  <si>
    <t>wondering why trash was not picked up on 1-9-26</t>
  </si>
  <si>
    <t>Dannel Mayhall</t>
  </si>
  <si>
    <t>Dannel Mayhall; 469-338-7312; armyladyfromtexas@gmail.com</t>
  </si>
  <si>
    <t>15 Plains Ct Apt B11</t>
  </si>
  <si>
    <t>possible mold issue</t>
  </si>
  <si>
    <t>PZA</t>
  </si>
  <si>
    <t>Kelly Walsh</t>
  </si>
  <si>
    <t>Kelly Walsh; 603-520-2731; walshkann934@gmail.com</t>
  </si>
  <si>
    <t>Resolution on file</t>
  </si>
  <si>
    <t>698 Salisbury Rd</t>
  </si>
  <si>
    <t>municipal complaint; see list</t>
  </si>
  <si>
    <t>Kathy Capron</t>
  </si>
  <si>
    <t>Kathy Capron; hermustangs@yahoo.com</t>
  </si>
  <si>
    <t>175 Central St.</t>
  </si>
  <si>
    <t>crosswalk switch not working</t>
  </si>
  <si>
    <t>Michelle Lennon</t>
  </si>
  <si>
    <t>Michelle Lennon; Archways; 603-960-2128; mlennon@archwaysnh.org</t>
  </si>
  <si>
    <t>14 W Bow St. Apt 4</t>
  </si>
  <si>
    <t>cockroach infestation, inoperable heat, unsafe outlets</t>
  </si>
  <si>
    <t>Nick Bracy</t>
  </si>
  <si>
    <t>Nick Bracy; 603-619-8410; nick2b97@gmail.com</t>
  </si>
  <si>
    <t>deadlines cockroaches 1-28, unsafe outlet 2-20, rubbish 2-20; resolved</t>
  </si>
  <si>
    <t>17 Hillside Cir</t>
  </si>
  <si>
    <t>mold issue throughout apartment</t>
  </si>
  <si>
    <t>Jamie Magoon</t>
  </si>
  <si>
    <t>Jamie Magoon; 603-616-1102</t>
  </si>
  <si>
    <t>unfounded; prop mgr keeps being denied access to remediate supposed issues</t>
  </si>
  <si>
    <t>City Website</t>
  </si>
  <si>
    <t>information on trash collection not updated</t>
  </si>
  <si>
    <t>Gerard Desrochers</t>
  </si>
  <si>
    <t>link for 1-14 audio not working</t>
  </si>
  <si>
    <t>14 W Bow St. Apt 1</t>
  </si>
  <si>
    <t>addition to SR 7-26</t>
  </si>
  <si>
    <t>Joshua Warren</t>
  </si>
  <si>
    <t>Joshua Warren; 603-455-2373; joshmando49@gmail.com</t>
  </si>
  <si>
    <t>1-28-26 deadline; resolved</t>
  </si>
  <si>
    <t>6-21-2023 MV accident reports</t>
  </si>
  <si>
    <t>Police/Fire Incident Records</t>
  </si>
  <si>
    <t>John Vanacore</t>
  </si>
  <si>
    <t>John Vanacore; 603-228-1180; john@vanacorelaw.com</t>
  </si>
  <si>
    <t>all streets surrounding Central</t>
  </si>
  <si>
    <t>not plowed well enough</t>
  </si>
  <si>
    <t>Barbara Doane</t>
  </si>
  <si>
    <t>wants someone to put more salt/sand by intersection w/ Chance Pond</t>
  </si>
  <si>
    <t>Maura Pitman</t>
  </si>
  <si>
    <t>Maura Pitman; pitmanfamily8@yahoo.com</t>
  </si>
  <si>
    <t>519 Salisbury Rd</t>
  </si>
  <si>
    <t>concerns about dogs; always left outside</t>
  </si>
  <si>
    <t>Referred to PD</t>
  </si>
  <si>
    <t>Police/Prosecutor</t>
  </si>
  <si>
    <t>Nicolas Millett</t>
  </si>
  <si>
    <t>Niolas Millett; 603-545-1083;millettnh@gmail.com</t>
  </si>
  <si>
    <t>Brothers Donuts</t>
  </si>
  <si>
    <t>re-imbursement of towing fee</t>
  </si>
  <si>
    <t>Joshua Mackay</t>
  </si>
  <si>
    <t>Joshua Mackay; mackay2dakay@gmail.com</t>
  </si>
  <si>
    <t>city emergency response plan</t>
  </si>
  <si>
    <t>Administrative Records</t>
  </si>
  <si>
    <t>Jonathan Bowers</t>
  </si>
  <si>
    <t>Jonathan Bowers; 603-513-8269; jonbowers@comcast.net</t>
  </si>
  <si>
    <t>15 Plains Ct</t>
  </si>
  <si>
    <t>multiple heating, electrical concerns</t>
  </si>
  <si>
    <t>Donna Varney</t>
  </si>
  <si>
    <t>Donna Varney; 603-455-5162; donnavarney2014@gmail.com</t>
  </si>
  <si>
    <t>Odell park lazy river and/or tubing communications</t>
  </si>
  <si>
    <t>Communication Records</t>
  </si>
  <si>
    <t>Legal</t>
  </si>
  <si>
    <t>inspections and permit applications for 174 &amp; 175 N Main St</t>
  </si>
  <si>
    <t>Property Records</t>
  </si>
  <si>
    <t>bd</t>
  </si>
  <si>
    <t>Jim Flemming</t>
  </si>
  <si>
    <t>Jim Flemming 603-475-8813</t>
  </si>
  <si>
    <t>City Manager communications since date of hire.</t>
  </si>
  <si>
    <t>mk</t>
  </si>
  <si>
    <t>On Hold – Pending Requestor Approval</t>
  </si>
  <si>
    <t>Bruce Marshall</t>
  </si>
  <si>
    <t xml:space="preserve">Bruce Marshall </t>
  </si>
  <si>
    <t xml:space="preserve">Requestor stated he would seek relief from courts. </t>
  </si>
  <si>
    <t>Disclosure of records held by CM of the financial interests of City Council members and Code of Conduct enforcement</t>
  </si>
  <si>
    <t xml:space="preserve">Missing acknowledgement date. </t>
  </si>
  <si>
    <t>30 Canal St Apt 515</t>
  </si>
  <si>
    <t>leaky ceiling, been trying for over a year to get this fixed</t>
  </si>
  <si>
    <t>Madison Poe</t>
  </si>
  <si>
    <t>Madison Poe; 603-62-1412; madisonepoe@yahoo.com</t>
  </si>
  <si>
    <t>3-11-26 deadline</t>
  </si>
  <si>
    <t>88 Chestnut</t>
  </si>
  <si>
    <t>multiple comments, complaints about possible squatting</t>
  </si>
  <si>
    <t>Oriole St.</t>
  </si>
  <si>
    <t>rat issues from junkyard across street from residence</t>
  </si>
  <si>
    <t>Lilly Cote</t>
  </si>
  <si>
    <t>Lilly Cote; 603-934-8261</t>
  </si>
  <si>
    <t>remediation plan in place</t>
  </si>
  <si>
    <t>Industrial Park Drive</t>
  </si>
  <si>
    <t>snowbanks too high, not able to safely turn out of street onto Rt 3</t>
  </si>
  <si>
    <t>Jane Lavin</t>
  </si>
  <si>
    <t>Jane Lavin; 603-419-8651; flowergirl1208@hotmail.com</t>
  </si>
  <si>
    <t>furnace issues, rats in ceiling</t>
  </si>
  <si>
    <t>Diane Roberts</t>
  </si>
  <si>
    <t>Lawndale Ave</t>
  </si>
  <si>
    <t>has re imbursement questions</t>
  </si>
  <si>
    <t>George Lees</t>
  </si>
  <si>
    <t>George Lees; 603-828-3752; leesgeorge53@gmail.com</t>
  </si>
  <si>
    <t>251 N Main St</t>
  </si>
  <si>
    <t>plow has moved ice into his driveway and is unable to move it</t>
  </si>
  <si>
    <t>Adam Hollins</t>
  </si>
  <si>
    <t>Adam Hollins; 603-819-9979; adam_hollins@yahoo.com</t>
  </si>
  <si>
    <t xml:space="preserve">330 Central </t>
  </si>
  <si>
    <t>is someone going to shovel the sidewalk?</t>
  </si>
  <si>
    <t>Leo Laverdiere</t>
  </si>
  <si>
    <t>Leo Laverdiere; 603-934-2301</t>
  </si>
  <si>
    <t xml:space="preserve">some things are missing </t>
  </si>
  <si>
    <t>looking for Fire Dept policies</t>
  </si>
  <si>
    <t>Desiree McLaughlin; mclaughlin4franklin@gmail.com</t>
  </si>
  <si>
    <t>Spring St</t>
  </si>
  <si>
    <t xml:space="preserve">end of road feels like it is sinking, and many potholes </t>
  </si>
  <si>
    <t>Nancy Glaude</t>
  </si>
  <si>
    <t>Nancy Glaude; 603-892-1926; us80sparkles@gmail.com</t>
  </si>
  <si>
    <t>1980-1990 employment records</t>
  </si>
  <si>
    <t>Human Resources</t>
  </si>
  <si>
    <t>Daniel Landers</t>
  </si>
  <si>
    <t>Daniel Landers; 207-745-2552; daniel.landers772@gmail.com</t>
  </si>
  <si>
    <t>Property/Code records</t>
  </si>
  <si>
    <t>Angel Lucas</t>
  </si>
  <si>
    <t>Angel Lucas; 754-367-2054;foia@dataresearch.blog</t>
  </si>
  <si>
    <t>155-159 Central St.</t>
  </si>
  <si>
    <t>extension cord running to disconnected location</t>
  </si>
  <si>
    <t>Michael Trask</t>
  </si>
  <si>
    <t>Michael Trask; 603-724-9941; michael.trask@eversource.com</t>
  </si>
  <si>
    <t>37-35 Pleasant St.</t>
  </si>
  <si>
    <t>electricity at 37 Pleasant was disconnected, still running from 35 Pleasant</t>
  </si>
  <si>
    <t>Records relating to City Manager oversight of City Council compliance with conflict-of-interest and ethics provisions</t>
  </si>
  <si>
    <t>254 S. Main St</t>
  </si>
  <si>
    <t>Apartment building is not owner occupied but has city trash barrels, not qualified for</t>
  </si>
  <si>
    <t>Delaney Carrier</t>
  </si>
  <si>
    <t>Delaney Carrier, 603-455-7124</t>
  </si>
  <si>
    <t>Bldg. has no heat or electricity, no occupancy permit and still has an active resident</t>
  </si>
  <si>
    <t>Odell Park Ice Rink</t>
  </si>
  <si>
    <t>The porta potty down by the ice rink needs to be serviced and sign for no dogs/smoking/drinking</t>
  </si>
  <si>
    <t>Myla Everett</t>
  </si>
  <si>
    <t>Myla Everett; 603-349-0552</t>
  </si>
  <si>
    <t>Grant applications, awards and denials for Mill City Park and  Franklin Opera House that the City has submitted to any grant agencies from 2018 to current.</t>
  </si>
  <si>
    <t>Financial Records</t>
  </si>
  <si>
    <t>jm</t>
  </si>
  <si>
    <t>Stacey Marsland</t>
  </si>
  <si>
    <t xml:space="preserve">Stacey Marsland, stacey4378@yahoo.com&gt; </t>
  </si>
  <si>
    <t>Website</t>
  </si>
  <si>
    <t>Link for 2-17 Joint Finance Meeting is incorrect</t>
  </si>
  <si>
    <t>Journal entry reports and MS 60-A</t>
  </si>
  <si>
    <t>Approved – Dept Gathering Records</t>
  </si>
  <si>
    <t xml:space="preserve">In progress, collecting responsive records. </t>
  </si>
  <si>
    <t>All purchases made by city Jan 1 2025-current</t>
  </si>
  <si>
    <t>Ready for Release – Schedule Pickup</t>
  </si>
  <si>
    <t>Justin Wenig</t>
  </si>
  <si>
    <t>Assigned to records assistant</t>
  </si>
  <si>
    <t>Grant information for work performed by Coleman</t>
  </si>
  <si>
    <t>44 Salisbury Rd</t>
  </si>
  <si>
    <t>Casella is rough with trash barrels</t>
  </si>
  <si>
    <t>Tyler Proulx</t>
  </si>
  <si>
    <t>Tyler Proulx; Tylerproulx40@yahoo.com; 6034554594</t>
  </si>
  <si>
    <t>PD Settlement Agreements and PD Chief Eval</t>
  </si>
  <si>
    <t>am</t>
  </si>
  <si>
    <t>MuckRock</t>
  </si>
  <si>
    <t>Audrey Nielsen, MuckRock News</t>
  </si>
  <si>
    <t>Salaries, contracts, job descriptions for Councilors and City Manager for last 10 years</t>
  </si>
  <si>
    <t>Rachel Wachman</t>
  </si>
  <si>
    <t>Rachel Wachman; rwachman@cmonitor.com</t>
  </si>
  <si>
    <t>Incident Report</t>
  </si>
  <si>
    <t>Involved party</t>
  </si>
  <si>
    <t>Lindsay Sousa</t>
  </si>
  <si>
    <t>Variable Message Board</t>
  </si>
  <si>
    <t>Please put the following message on the movable road signs as soon as possible</t>
  </si>
  <si>
    <t>Annette Andreozzi</t>
  </si>
  <si>
    <t>Email Address: aanhextra@gmail.com; Phone Number: 6039348222</t>
  </si>
  <si>
    <t>Request for Dash Cam and Body-Worn Camera Footage, Tampa, FL case</t>
  </si>
  <si>
    <t>Eric P</t>
  </si>
  <si>
    <t xml:space="preserve">Volunteer Public Records Researcher, Eric P &lt;thefinestnetwork4@gmail.com&gt; </t>
  </si>
  <si>
    <t>Request for Dash Cam and Body-Worn Camera Footage, Hooksett, NH case</t>
  </si>
  <si>
    <t>Request for information about 174 N Main and dam</t>
  </si>
  <si>
    <t>cw</t>
  </si>
  <si>
    <t>Cait Beneat</t>
  </si>
  <si>
    <t>cbeneat@wilcoxandbarton.com; 603-372-2230</t>
  </si>
  <si>
    <t>Incident Report &amp; Dispatch Call Log</t>
  </si>
  <si>
    <t>Anna Doherty</t>
  </si>
  <si>
    <t>ajdoherty546@gmail.com; (603)455-2511</t>
  </si>
  <si>
    <t>Procurement-related records issued by the City of Franklin between January 1, 2023 and December 1, 2025.</t>
  </si>
  <si>
    <t>Raaj Thipparthy</t>
  </si>
  <si>
    <t>raajnrao@gmail.com</t>
  </si>
  <si>
    <t xml:space="preserve">Request abandoned by requestor. </t>
  </si>
  <si>
    <t>99 Pleasant St</t>
  </si>
  <si>
    <t>Ventilation and insulation issue, freezing pipes</t>
  </si>
  <si>
    <t>mf</t>
  </si>
  <si>
    <t>Mei Lin</t>
  </si>
  <si>
    <t>meilin55331@gmail.com; 603-721-6179</t>
  </si>
  <si>
    <t>Unfounded.</t>
  </si>
  <si>
    <t>Procurement-related records issued by the City of Franklin between February 1, 2024 and February 1, 2026.</t>
  </si>
  <si>
    <t>ms</t>
  </si>
  <si>
    <t>Abandoned</t>
  </si>
  <si>
    <t>Askila Ch</t>
  </si>
  <si>
    <t>mailto:chikitha262@gmail.com</t>
  </si>
  <si>
    <t>Dispatch Log</t>
  </si>
  <si>
    <t>Party entitled</t>
  </si>
  <si>
    <t>Joyce Gilbert</t>
  </si>
  <si>
    <t>603-999-1443</t>
  </si>
  <si>
    <t>56 Calef Road</t>
  </si>
  <si>
    <t>Abandoned car</t>
  </si>
  <si>
    <t>Megan Lewis</t>
  </si>
  <si>
    <t>lamepun@gmail.com</t>
  </si>
  <si>
    <t>162 West Bow St</t>
  </si>
  <si>
    <t xml:space="preserve">hazardous conditions </t>
  </si>
  <si>
    <t>ah</t>
  </si>
  <si>
    <t>Jeremy Gunn</t>
  </si>
  <si>
    <t>603-785-0721</t>
  </si>
  <si>
    <t>People not picking up after dogs</t>
  </si>
  <si>
    <t>Mario Talamas</t>
  </si>
  <si>
    <t>603-998-1310</t>
  </si>
  <si>
    <t>32 West Bow St</t>
  </si>
  <si>
    <t>Ice damage caused by metal roof</t>
  </si>
  <si>
    <t>th</t>
  </si>
  <si>
    <t>Nawaz Azam</t>
  </si>
  <si>
    <t>nawazazam@hotmail.com; 603-848-3540</t>
  </si>
  <si>
    <t>Correction deadline update: 6-30</t>
  </si>
  <si>
    <t>390 N Main St</t>
  </si>
  <si>
    <t>Code violations</t>
  </si>
  <si>
    <t>dc</t>
  </si>
  <si>
    <t>Albert Magnifico</t>
  </si>
  <si>
    <t>amcontractingpro@gmail.com</t>
  </si>
  <si>
    <t>Correction deadline in place: 4/30</t>
  </si>
  <si>
    <t>Industrial Park Dr</t>
  </si>
  <si>
    <t xml:space="preserve">Solar farm </t>
  </si>
  <si>
    <t>Robert Montambeault</t>
  </si>
  <si>
    <t>Your E-mail Address: mntmbo@metrocast.net; Organization: Homeowner; Phone Number: 603-393-6943</t>
  </si>
  <si>
    <t>Employee Breaks</t>
  </si>
  <si>
    <t>City vehicles at Dunkin Donuts</t>
  </si>
  <si>
    <t>Brian Barry</t>
  </si>
  <si>
    <t>Email Address: carter2nash@yahoo.com; Phone Number: 603-512-2111</t>
  </si>
  <si>
    <t>Adams-Mark-Duffy Intersection</t>
  </si>
  <si>
    <t>Sink hole at intersection</t>
  </si>
  <si>
    <t>Email Address: g.desrochers42@gmail.com; Phone Number: 6039989634</t>
  </si>
  <si>
    <t>Police Dept</t>
  </si>
  <si>
    <t>Lack of police presence and traffic enforcement</t>
  </si>
  <si>
    <t>Pat Dickinson</t>
  </si>
  <si>
    <t>Phone: 603-731-1400</t>
  </si>
  <si>
    <t>Copies of all 91A Invoices for last 12 months</t>
  </si>
  <si>
    <t xml:space="preserve">Fee combined with 46-26, records were picked up at same time. </t>
  </si>
  <si>
    <t>Noah Daigle</t>
  </si>
  <si>
    <t>Debris from property blowing in yard; unsecured metal roofing</t>
  </si>
  <si>
    <t>Gregory Thompson</t>
  </si>
  <si>
    <t>Email Address: thompsonagregory@gmail.com
Phone Number: 6039001155</t>
  </si>
  <si>
    <t>Dispatch Call Log</t>
  </si>
  <si>
    <t>Richard Crawford</t>
  </si>
  <si>
    <t>Communications between City and TIF Advisory Board</t>
  </si>
  <si>
    <t>IT</t>
  </si>
  <si>
    <t>Waiting for requestor to schedule appt</t>
  </si>
  <si>
    <t>Facility use form and all related documents for the NOR'EASTER WHITEWATER SYMPOSIUM</t>
  </si>
  <si>
    <t>Parks &amp; Rec</t>
  </si>
  <si>
    <t>Sarah Kaar</t>
  </si>
  <si>
    <t>Park St and Madison St</t>
  </si>
  <si>
    <t>Pot holes at intersection</t>
  </si>
  <si>
    <t>Darrion Tregre</t>
  </si>
  <si>
    <t>Email Address: darriontregre@gmail.com
Phone Number: 3183594060</t>
  </si>
  <si>
    <t>10 Pine Colony Rd</t>
  </si>
  <si>
    <t>Broken asphalt in road</t>
  </si>
  <si>
    <t>Linda Holstein Stronge</t>
  </si>
  <si>
    <t>Birch and Terrace</t>
  </si>
  <si>
    <t>Ed Prive</t>
  </si>
  <si>
    <t>Gilman St</t>
  </si>
  <si>
    <t>Guardrails need repair on Gilman St</t>
  </si>
  <si>
    <t>Heat and hot water being shut off by other tenant</t>
  </si>
  <si>
    <t>Brenda Mills</t>
  </si>
  <si>
    <t>All email communications sent and received by the mayor related to their elected position between Jan 1, 2026 and Jan 31, 2026, including but not limited to emails with constituents. This request is inclusive of all email sent to their official email, and all correspondence related to their elected position sent or received on personal and secondary accounts.</t>
  </si>
  <si>
    <t>Ready for pick up.</t>
  </si>
  <si>
    <t xml:space="preserve">Most recent performance evaluation(s) for the current city/town manager </t>
  </si>
  <si>
    <t>Personnel Records</t>
  </si>
  <si>
    <t>HR</t>
  </si>
  <si>
    <t>RID0003</t>
  </si>
  <si>
    <t/>
  </si>
  <si>
    <t>Kalos Consulting &amp; Investigations</t>
  </si>
  <si>
    <t>Communications Ken Merrifield, NHDOL and City of Franklin</t>
  </si>
  <si>
    <t>Christopher Leandres</t>
  </si>
  <si>
    <t>No responsive records exist.</t>
  </si>
  <si>
    <t>247 Smith Hill Road</t>
  </si>
  <si>
    <t>Junk cars on property</t>
  </si>
  <si>
    <t>Correction deadline update: 7/1/2026</t>
  </si>
  <si>
    <t>Property/Code records for 880 Central</t>
  </si>
  <si>
    <t>Maxwell Hasler</t>
  </si>
  <si>
    <t>Requestor Name: Maxwell Hasler
Requestor Email: zoning@blewinc.com
Requestor Phone: 8889332111
Requestor Address: 13900 Wireless Way
Additional Requestor: Rema Tomka, added to SR, Tomka abandoned request</t>
  </si>
  <si>
    <t>Tomka abandoned request</t>
  </si>
  <si>
    <t>Colcord Autobody - 155 Central St</t>
  </si>
  <si>
    <t xml:space="preserve">Trash and hazardous materials on site. Power should be off but lights on in building at night. </t>
  </si>
  <si>
    <t>Thomas Boyce</t>
  </si>
  <si>
    <t xml:space="preserve">Correction notice deadline 5/10/26, owner also has court summons for 6/15/26. </t>
  </si>
  <si>
    <t>Incident report</t>
  </si>
  <si>
    <t>Goodridge Investigation</t>
  </si>
  <si>
    <t>Terrace Road</t>
  </si>
  <si>
    <t>pavement has collapsed along the very edge of the road and chunks are heaving up about halfway to the manhole cover</t>
  </si>
  <si>
    <t>Marcia Burley</t>
  </si>
  <si>
    <t>Full Name: Marcia A Burley
Email Address: mburley@metrocast.net
Phone Number: 603-934-3092</t>
  </si>
  <si>
    <t>Mark Larocque</t>
  </si>
  <si>
    <t xml:space="preserve">No response from requestor, abandoned. </t>
  </si>
  <si>
    <t xml:space="preserve">Emails to City Manager or City Council in regards to requests to have such emails read at the April 6, 2026 City Council Meeting. </t>
  </si>
  <si>
    <t>Mike Mendella</t>
  </si>
  <si>
    <t>Pot holes</t>
  </si>
  <si>
    <t>Trash and junk cars on property</t>
  </si>
  <si>
    <t>Correction deadline: 05-29-2026</t>
  </si>
  <si>
    <t>Septic breakout on property</t>
  </si>
  <si>
    <t>sb</t>
  </si>
  <si>
    <t>Scott Herbert</t>
  </si>
  <si>
    <t xml:space="preserve">Role, responsibilities, and training of police-prosecutors </t>
  </si>
  <si>
    <t>Anna Arons</t>
  </si>
  <si>
    <t xml:space="preserve">PD/Prosecuter handled directly. </t>
  </si>
  <si>
    <t>43 Elkins St</t>
  </si>
  <si>
    <t>Obstruction on sidewalk</t>
  </si>
  <si>
    <t>Wants No Parking signs put up</t>
  </si>
  <si>
    <t>175 Central St. &amp; W Bow St</t>
  </si>
  <si>
    <t>Alisa Rief</t>
  </si>
  <si>
    <t>38 Bond St</t>
  </si>
  <si>
    <t>Improper junk yard</t>
  </si>
  <si>
    <t>141 Webster Lake Rd</t>
  </si>
  <si>
    <t>Property maintenance violations</t>
  </si>
  <si>
    <t>Correction deadline: 5-29-26</t>
  </si>
  <si>
    <t>21 Old Call Rd</t>
  </si>
  <si>
    <t>Debris from neighboring property</t>
  </si>
  <si>
    <t>Larry Thomas Beattie</t>
  </si>
  <si>
    <t xml:space="preserve">Unfounded. </t>
  </si>
  <si>
    <t>55 Ward Hill Rd</t>
  </si>
  <si>
    <t>Drainage problems</t>
  </si>
  <si>
    <t>Tom Gagnon</t>
  </si>
  <si>
    <t>gagnon.thomas@yahoo.com</t>
  </si>
  <si>
    <t>58 Babbit Road</t>
  </si>
  <si>
    <t>Neighbor encroaching on her land</t>
  </si>
  <si>
    <t>Elizabeth Beaury</t>
  </si>
  <si>
    <t>(603) 934-8296</t>
  </si>
  <si>
    <t xml:space="preserve">Unfounded, civil matter. </t>
  </si>
  <si>
    <t>Incident reports for Fire and Code responding to property</t>
  </si>
  <si>
    <t>Crystal Vandell</t>
  </si>
  <si>
    <t>40 Independence Ave</t>
  </si>
  <si>
    <t>Champagne</t>
  </si>
  <si>
    <t>135 Thunder Rd</t>
  </si>
  <si>
    <t>Water main sticking up</t>
  </si>
  <si>
    <t>Dennis Laflamme</t>
  </si>
  <si>
    <t>(603) 998-4449</t>
  </si>
  <si>
    <t>Rd near Hospital Entrance</t>
  </si>
  <si>
    <t>Pothole on the road near hospital entrance</t>
  </si>
  <si>
    <t>Susan Barton</t>
  </si>
  <si>
    <t>(603) 715-0081</t>
  </si>
  <si>
    <t>Any agreements the city has had with Choose Franklin Non-Profit since 2020 to current</t>
  </si>
  <si>
    <t>Records regarding 91 Munroe St</t>
  </si>
  <si>
    <t>Gile Pond Rd</t>
  </si>
  <si>
    <t>Request for a street sign</t>
  </si>
  <si>
    <t>Andrea Holcomb</t>
  </si>
  <si>
    <t>Central, Willow, and Clark</t>
  </si>
  <si>
    <t>Kyle Davis</t>
  </si>
  <si>
    <t>Kerners Car Wash</t>
  </si>
  <si>
    <t>Trucks discharging car wash fluids improperly</t>
  </si>
  <si>
    <t>Site visit scheduled 5/19</t>
  </si>
  <si>
    <t>Intersection:School and Spring</t>
  </si>
  <si>
    <t xml:space="preserve">Nor'easter Whitewater Symposium </t>
  </si>
  <si>
    <t>W Bow St</t>
  </si>
  <si>
    <t>Street Issues</t>
  </si>
  <si>
    <t>Tim Alberts</t>
  </si>
  <si>
    <t>Cheney Hill Rd</t>
  </si>
  <si>
    <t>Valorie Haynes-Alvarez</t>
  </si>
  <si>
    <t>Hunt Ave &amp; Cross St</t>
  </si>
  <si>
    <t>Need repaving</t>
  </si>
  <si>
    <t>Melissa Newman</t>
  </si>
  <si>
    <t>Pine Colony Rd and Griffin Rd</t>
  </si>
  <si>
    <t>Sharon Trudel</t>
  </si>
  <si>
    <t>Mill City Park</t>
  </si>
  <si>
    <t xml:space="preserve">Trash collected </t>
  </si>
  <si>
    <t>Christy Mank</t>
  </si>
  <si>
    <t>13 Gilman St</t>
  </si>
  <si>
    <t>Possible unpermitted residential use, illegal burning, and address misuse</t>
  </si>
  <si>
    <t>Code determination: UNFOUNDED</t>
  </si>
  <si>
    <t>Pleasant St to Giles Rd</t>
  </si>
  <si>
    <t>Susan Hines</t>
  </si>
  <si>
    <t>8 Hilary Drive</t>
  </si>
  <si>
    <t>Trash pick up left a barrel</t>
  </si>
  <si>
    <t>Annette Abbondanza</t>
  </si>
  <si>
    <t>Across from Wyatts</t>
  </si>
  <si>
    <t>Robin Crawley</t>
  </si>
  <si>
    <t>Concerns of improper underground oil tank</t>
  </si>
  <si>
    <t>Correction date: 06-10-2026</t>
  </si>
  <si>
    <t>250 Pleasant St</t>
  </si>
  <si>
    <t>Nicholas Johnson</t>
  </si>
  <si>
    <t>Odell Park Pier</t>
  </si>
  <si>
    <t>Fence disconnected</t>
  </si>
  <si>
    <t>Erica Bruce</t>
  </si>
  <si>
    <t>Crosswalks</t>
  </si>
  <si>
    <t>Crosswalks and mid-lines needs to be repainted</t>
  </si>
  <si>
    <t>Jenish Patel</t>
  </si>
  <si>
    <t>Evergreen Ave</t>
  </si>
  <si>
    <t>Large ditches left after utility work</t>
  </si>
  <si>
    <t>Intersection: Snap Fitness</t>
  </si>
  <si>
    <t>Traffic light not working</t>
  </si>
  <si>
    <t>Summer Parks Program</t>
  </si>
  <si>
    <t>Complaint about non-resident particiapation</t>
  </si>
  <si>
    <t>Amanda Hoyt</t>
  </si>
  <si>
    <t>Needs a handicap parking spot</t>
  </si>
  <si>
    <t>Eric Jacobs</t>
  </si>
  <si>
    <t>Eric Jacobs, 603-366-6300</t>
  </si>
  <si>
    <t>All financial records related to Resolution #04-25 — Soldier's Memorial Hall Rehabilitation Project borrowing, including loan docs, amortization schedule, and account activity.</t>
  </si>
  <si>
    <t>Request for HUD grant award letter, DRGR correspondence, motion/resolution authorizing fund balance use, transaction detail for related payments and reimbursements, and Oct. 20, 2025 workshop minutes.</t>
  </si>
  <si>
    <t>Webster Lake Road</t>
  </si>
  <si>
    <t>Sidewalk Request</t>
  </si>
  <si>
    <t>Erin Recine</t>
  </si>
  <si>
    <t>All communications between City Manager and Delaney Carrier</t>
  </si>
  <si>
    <t>All complaints against business at property</t>
  </si>
  <si>
    <t>Incident Records</t>
  </si>
  <si>
    <t>Alyssa LaFoe</t>
  </si>
  <si>
    <t>Incident Reports</t>
  </si>
  <si>
    <t>Christopher Dow</t>
  </si>
  <si>
    <t>25 Liberty Ave</t>
  </si>
  <si>
    <t>Missing stop sign</t>
  </si>
  <si>
    <t>Janet Desrochers</t>
  </si>
  <si>
    <t>Fires, hazmat or environmental contamination associated with 321 Prospect Street</t>
  </si>
  <si>
    <t>Steven Shope</t>
  </si>
  <si>
    <t>182 Summit Street</t>
  </si>
  <si>
    <t>Potholes on Summit St and Chance Pond Road</t>
  </si>
  <si>
    <t>100 Sterling Dr</t>
  </si>
  <si>
    <t>Junk car, water ponding</t>
  </si>
  <si>
    <t>John Romano</t>
  </si>
  <si>
    <t>Parking Lot Trestle View Park</t>
  </si>
  <si>
    <t>Trash collected from volunteer clean up</t>
  </si>
  <si>
    <t>Candy Lewis</t>
  </si>
  <si>
    <t>182-185 Summit St</t>
  </si>
  <si>
    <t>Documentation regardong the Ongoing Inflow and Infiltration Maintenance Program / City wide</t>
  </si>
  <si>
    <t>Chris Lind</t>
  </si>
  <si>
    <t xml:space="preserve">Top 5 RFPs </t>
  </si>
  <si>
    <t>Copies of AI chat logs</t>
  </si>
  <si>
    <t xml:space="preserve">Copies of AI policies. </t>
  </si>
  <si>
    <t>RID0001</t>
  </si>
  <si>
    <t>RID0002</t>
  </si>
  <si>
    <t>RID0004</t>
  </si>
  <si>
    <t>RID0005</t>
  </si>
  <si>
    <t>RID0006</t>
  </si>
  <si>
    <t>RID0007</t>
  </si>
  <si>
    <t>RID0008</t>
  </si>
  <si>
    <t>RID0009</t>
  </si>
  <si>
    <t>RID0010</t>
  </si>
  <si>
    <t>RID0011</t>
  </si>
  <si>
    <t>RID0012</t>
  </si>
  <si>
    <t>RID0013</t>
  </si>
  <si>
    <t>RID0014</t>
  </si>
  <si>
    <t>RID0015</t>
  </si>
  <si>
    <t>RID0016</t>
  </si>
  <si>
    <t>RID0017</t>
  </si>
  <si>
    <t>RID0018</t>
  </si>
  <si>
    <t>RID0019</t>
  </si>
  <si>
    <t>RID0020</t>
  </si>
  <si>
    <t>RID0021</t>
  </si>
  <si>
    <t>RID0022</t>
  </si>
  <si>
    <t>RID0023</t>
  </si>
  <si>
    <t>RID0024</t>
  </si>
  <si>
    <t>RID0025</t>
  </si>
  <si>
    <t>RID0026</t>
  </si>
  <si>
    <t>RID0027</t>
  </si>
  <si>
    <t>RID0028</t>
  </si>
  <si>
    <t>RID0029</t>
  </si>
  <si>
    <t>RID0030</t>
  </si>
  <si>
    <t>RID0031</t>
  </si>
  <si>
    <t>RID0032</t>
  </si>
  <si>
    <t>RID0033</t>
  </si>
  <si>
    <t>RID0034</t>
  </si>
  <si>
    <t>RID0035</t>
  </si>
  <si>
    <t>RID0036</t>
  </si>
  <si>
    <t>RID0037</t>
  </si>
  <si>
    <t>RID0038</t>
  </si>
  <si>
    <t>RID0039</t>
  </si>
  <si>
    <t>RID0040</t>
  </si>
  <si>
    <t>RID0041</t>
  </si>
  <si>
    <t>RID0042</t>
  </si>
  <si>
    <t>RID0043</t>
  </si>
  <si>
    <t>RID0044</t>
  </si>
  <si>
    <t>RID0045</t>
  </si>
  <si>
    <t>RID0046</t>
  </si>
  <si>
    <t>RID0047</t>
  </si>
  <si>
    <t>RID0048</t>
  </si>
  <si>
    <t>RID0049</t>
  </si>
  <si>
    <t>RID0050</t>
  </si>
  <si>
    <t>RID0051</t>
  </si>
  <si>
    <t>RID0052</t>
  </si>
  <si>
    <t>RID0053</t>
  </si>
  <si>
    <t>RID0054</t>
  </si>
  <si>
    <t>RID0055</t>
  </si>
  <si>
    <t>RID0056</t>
  </si>
  <si>
    <t>RID0057</t>
  </si>
  <si>
    <t>RID0058</t>
  </si>
  <si>
    <t>RID0059</t>
  </si>
  <si>
    <t>RID0060</t>
  </si>
  <si>
    <t>RID0061</t>
  </si>
  <si>
    <t>RID0062</t>
  </si>
  <si>
    <t>RID0063</t>
  </si>
  <si>
    <t>RID0064</t>
  </si>
  <si>
    <t>RID0065</t>
  </si>
  <si>
    <t>RID0066</t>
  </si>
  <si>
    <t>RID0067</t>
  </si>
  <si>
    <t>RID0068</t>
  </si>
  <si>
    <t>RID0069</t>
  </si>
  <si>
    <t>RID0070</t>
  </si>
  <si>
    <t>RID0071</t>
  </si>
  <si>
    <t>RID0072</t>
  </si>
  <si>
    <t>RID0073</t>
  </si>
  <si>
    <t>RID0074</t>
  </si>
  <si>
    <t>RID0075</t>
  </si>
  <si>
    <t>RID0076</t>
  </si>
  <si>
    <t>RID0077</t>
  </si>
  <si>
    <t>RID0078</t>
  </si>
  <si>
    <t>RID0079</t>
  </si>
  <si>
    <t>RID0080</t>
  </si>
  <si>
    <t>RID0081</t>
  </si>
  <si>
    <t>RID0082</t>
  </si>
  <si>
    <t>RID0083</t>
  </si>
  <si>
    <t>RID0084</t>
  </si>
  <si>
    <t>RID0085</t>
  </si>
  <si>
    <t>RID0086</t>
  </si>
  <si>
    <t>RID0087</t>
  </si>
  <si>
    <t>RID0088</t>
  </si>
  <si>
    <t>RID0089</t>
  </si>
  <si>
    <t>RID0090</t>
  </si>
  <si>
    <t>RID0091</t>
  </si>
  <si>
    <t>RID0092</t>
  </si>
  <si>
    <t>RID0093</t>
  </si>
  <si>
    <t>RID0094</t>
  </si>
  <si>
    <t>RID0095</t>
  </si>
  <si>
    <t>RID0096</t>
  </si>
  <si>
    <t>RID0097</t>
  </si>
  <si>
    <t>RID0098</t>
  </si>
  <si>
    <t>RID0099</t>
  </si>
  <si>
    <t>RID0100</t>
  </si>
  <si>
    <t>RID0101</t>
  </si>
  <si>
    <t>RID0102</t>
  </si>
  <si>
    <t>RID0103</t>
  </si>
  <si>
    <t>RID0104</t>
  </si>
  <si>
    <t>RID0105</t>
  </si>
  <si>
    <t>Acknowledged – Estimating</t>
  </si>
  <si>
    <t>Records Received – Pending Review</t>
  </si>
  <si>
    <t>Records Review – Redaction</t>
  </si>
  <si>
    <t>Legal Review – Pending</t>
  </si>
  <si>
    <t>Withdrawn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</si>
</sst>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m/d/yy;@"/>
    <numFmt numFmtId="165" formatCode="mm/dd/yy;@"/>
  </numFmts>
  <fonts count="10" x14ac:knownFonts="1">
    <font>
      <sz val="11"/>
      <color theme="1"/>
      <name val="Calibri"/>
      <family val="2"/>
      <scheme val="minor"/>
    </font>
    <font>
      <b/>
      <u/>
      <sz val="28"/>
      <color theme="1"/>
      <name val="Calibri"/>
      <family val="2"/>
      <scheme val="minor"/>
    </font>
    <font>
      <sz val="8"/>
      <name val="Calibri"/>
      <family val="2"/>
      <scheme val="minor"/>
    </font>
    <font>
      <u/>
      <sz val="11"/>
      <color theme="10"/>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b/>
      <sz val="10"/>
      <color theme="1"/>
      <name val="Calibri"/>
      <family val="2"/>
      <scheme val="minor"/>
    </font>
    <font>
      <b/>
      <sz val="24"/>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rgb="FFFFFF00"/>
        <bgColor indexed="64"/>
      </patternFill>
    </fill>
    <fill>
      <patternFill patternType="solid">
        <fgColor theme="9" tint="0.39997558519241921"/>
        <bgColor indexed="64"/>
      </patternFill>
    </fill>
  </fills>
  <borders count="16">
    <border>
      <left/>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medium">
        <color indexed="64"/>
      </top>
      <bottom/>
      <diagonal/>
    </border>
    <border>
      <left/>
      <right style="medium">
        <color indexed="64"/>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s>
  <cellStyleXfs count="3">
    <xf numFmtId="0" fontId="0" fillId="0" borderId="0"/>
    <xf numFmtId="0" fontId="3" fillId="0" borderId="0" applyNumberFormat="0" applyFill="0" applyBorder="0" applyAlignment="0" applyProtection="0"/>
    <xf numFmtId="44" fontId="5" fillId="0" borderId="0" applyFont="0" applyFill="0" applyBorder="0" applyAlignment="0" applyProtection="0"/>
  </cellStyleXfs>
  <cellXfs count="67">
    <xf numFmtId="0" fontId="0" fillId="0" borderId="0" xfId="0"/>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xf>
    <xf numFmtId="0" fontId="1" fillId="0" borderId="0" xfId="0" applyFont="1" applyAlignment="1">
      <alignment horizontal="left"/>
    </xf>
    <xf numFmtId="0" fontId="0" fillId="0" borderId="0" xfId="0" applyAlignment="1">
      <alignment horizontal="left" wrapText="1"/>
    </xf>
    <xf numFmtId="0" fontId="0" fillId="0" borderId="0" xfId="0" applyAlignment="1">
      <alignment vertical="center"/>
    </xf>
    <xf numFmtId="0" fontId="0" fillId="0" borderId="0" xfId="0" applyAlignment="1">
      <alignment wrapText="1"/>
    </xf>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vertical="center"/>
    </xf>
    <xf numFmtId="165" fontId="0" fillId="0" borderId="0" xfId="0" applyNumberFormat="1" applyAlignment="1">
      <alignment horizontal="center" vertical="center"/>
    </xf>
    <xf numFmtId="165" fontId="0" fillId="0" borderId="0" xfId="0" applyNumberFormat="1" applyAlignment="1">
      <alignment vertical="center"/>
    </xf>
    <xf numFmtId="14" fontId="0" fillId="0" borderId="0" xfId="0" applyNumberFormat="1" applyAlignment="1">
      <alignment horizontal="center" vertical="center" wrapText="1"/>
    </xf>
    <xf numFmtId="14"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165" fontId="0" fillId="2" borderId="2" xfId="0" applyNumberFormat="1" applyFill="1" applyBorder="1" applyAlignment="1">
      <alignment horizontal="center" vertical="center" wrapText="1"/>
    </xf>
    <xf numFmtId="165" fontId="0" fillId="2" borderId="3" xfId="0" applyNumberFormat="1" applyFill="1" applyBorder="1" applyAlignment="1">
      <alignment horizontal="center" vertical="center" wrapText="1"/>
    </xf>
    <xf numFmtId="0" fontId="4" fillId="0" borderId="0" xfId="0" applyFont="1"/>
    <xf numFmtId="1" fontId="0" fillId="2" borderId="2" xfId="0" applyNumberFormat="1" applyFill="1" applyBorder="1" applyAlignment="1">
      <alignment horizontal="center" vertical="center" wrapText="1"/>
    </xf>
    <xf numFmtId="0" fontId="3" fillId="0" borderId="0" xfId="1" applyFill="1"/>
    <xf numFmtId="1" fontId="0" fillId="2" borderId="3" xfId="0" applyNumberFormat="1" applyFill="1" applyBorder="1" applyAlignment="1">
      <alignment horizontal="center" vertical="center" wrapText="1"/>
    </xf>
    <xf numFmtId="20" fontId="0" fillId="2" borderId="3" xfId="0" applyNumberFormat="1" applyFill="1" applyBorder="1" applyAlignment="1">
      <alignment horizontal="center" vertical="center" wrapText="1"/>
    </xf>
    <xf numFmtId="44" fontId="0" fillId="2" borderId="3" xfId="2" applyFont="1" applyFill="1" applyBorder="1" applyAlignment="1">
      <alignment horizontal="center" vertical="center" wrapText="1"/>
    </xf>
    <xf numFmtId="49" fontId="6" fillId="2" borderId="5"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1" fontId="0" fillId="0" borderId="0" xfId="0" applyNumberFormat="1" applyAlignment="1">
      <alignment vertical="center"/>
    </xf>
    <xf numFmtId="20" fontId="0" fillId="0" borderId="0" xfId="0" applyNumberFormat="1" applyAlignment="1">
      <alignment vertical="center"/>
    </xf>
    <xf numFmtId="44" fontId="0" fillId="0" borderId="0" xfId="2" applyFont="1" applyFill="1" applyBorder="1" applyAlignment="1">
      <alignment vertical="center"/>
    </xf>
    <xf numFmtId="0" fontId="0" fillId="3" borderId="0" xfId="0" applyFill="1"/>
    <xf numFmtId="0" fontId="0" fillId="0" borderId="6" xfId="0" applyBorder="1"/>
    <xf numFmtId="14" fontId="0" fillId="0" borderId="6" xfId="0" applyNumberFormat="1"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center"/>
    </xf>
    <xf numFmtId="164" fontId="0" fillId="0" borderId="6" xfId="0" applyNumberFormat="1" applyBorder="1" applyAlignment="1">
      <alignment vertical="center"/>
    </xf>
    <xf numFmtId="1" fontId="0" fillId="0" borderId="6" xfId="0" applyNumberFormat="1" applyBorder="1" applyAlignment="1">
      <alignment vertical="center"/>
    </xf>
    <xf numFmtId="165" fontId="0" fillId="0" borderId="6" xfId="0" applyNumberFormat="1" applyBorder="1" applyAlignment="1">
      <alignment vertical="center"/>
    </xf>
    <xf numFmtId="20" fontId="0" fillId="0" borderId="6" xfId="0" applyNumberFormat="1" applyBorder="1" applyAlignment="1">
      <alignment vertical="center"/>
    </xf>
    <xf numFmtId="44" fontId="0" fillId="0" borderId="6" xfId="2" applyFont="1" applyFill="1" applyBorder="1" applyAlignment="1">
      <alignment vertical="center"/>
    </xf>
    <xf numFmtId="0" fontId="0" fillId="0" borderId="7" xfId="0" applyBorder="1"/>
    <xf numFmtId="0" fontId="0" fillId="2" borderId="3" xfId="0" applyFill="1" applyBorder="1" applyAlignment="1">
      <alignment horizontal="center" vertical="center" wrapText="1"/>
    </xf>
    <xf numFmtId="0" fontId="0" fillId="2" borderId="9" xfId="0" applyFill="1" applyBorder="1" applyAlignment="1">
      <alignment horizontal="center" vertical="center" wrapText="1"/>
    </xf>
    <xf numFmtId="164" fontId="0" fillId="2" borderId="10" xfId="0" applyNumberFormat="1" applyFill="1" applyBorder="1" applyAlignment="1">
      <alignment horizontal="center" vertical="center" wrapText="1"/>
    </xf>
    <xf numFmtId="0" fontId="0" fillId="2" borderId="13" xfId="0" applyFill="1" applyBorder="1" applyAlignment="1">
      <alignment horizontal="center" vertical="center" wrapText="1"/>
    </xf>
    <xf numFmtId="20" fontId="0" fillId="2" borderId="4" xfId="0" applyNumberFormat="1" applyFill="1" applyBorder="1" applyAlignment="1">
      <alignment horizontal="center" vertical="center" wrapText="1"/>
    </xf>
    <xf numFmtId="0" fontId="0" fillId="0" borderId="13" xfId="0" applyBorder="1"/>
    <xf numFmtId="44" fontId="0" fillId="0" borderId="0" xfId="2" applyFont="1" applyBorder="1" applyAlignment="1">
      <alignment vertical="center"/>
    </xf>
    <xf numFmtId="20" fontId="0" fillId="0" borderId="14" xfId="0" applyNumberFormat="1" applyBorder="1" applyAlignment="1">
      <alignment vertical="center"/>
    </xf>
    <xf numFmtId="14" fontId="0" fillId="0" borderId="13" xfId="0" applyNumberFormat="1" applyBorder="1"/>
    <xf numFmtId="0" fontId="3" fillId="0" borderId="13" xfId="1" applyFill="1" applyBorder="1"/>
    <xf numFmtId="0" fontId="0" fillId="0" borderId="13" xfId="0" applyBorder="1" applyAlignment="1">
      <alignment wrapText="1"/>
    </xf>
    <xf numFmtId="0" fontId="0" fillId="0" borderId="13" xfId="0" applyBorder="1" applyAlignment="1">
      <alignment horizontal="center" vertical="center"/>
    </xf>
    <xf numFmtId="0" fontId="0" fillId="0" borderId="14" xfId="0" applyBorder="1" applyAlignment="1">
      <alignment horizontal="center" vertical="center"/>
    </xf>
    <xf numFmtId="0" fontId="1" fillId="0" borderId="0" xfId="0" applyFont="1" applyAlignment="1">
      <alignment horizontal="left" wrapText="1"/>
    </xf>
    <xf numFmtId="0" fontId="0" fillId="0" borderId="6" xfId="0" applyBorder="1" applyAlignment="1">
      <alignment wrapText="1"/>
    </xf>
    <xf numFmtId="0" fontId="1" fillId="0" borderId="0" xfId="0" applyFont="1" applyAlignment="1">
      <alignment horizontal="right" wrapText="1"/>
    </xf>
    <xf numFmtId="0" fontId="0" fillId="0" borderId="6" xfId="0" applyBorder="1" applyAlignment="1">
      <alignment horizontal="center" vertical="center" wrapText="1"/>
    </xf>
    <xf numFmtId="20" fontId="0" fillId="0" borderId="15" xfId="0" applyNumberFormat="1" applyBorder="1" applyAlignment="1">
      <alignment vertical="center"/>
    </xf>
    <xf numFmtId="8" fontId="0" fillId="0" borderId="0" xfId="2" applyNumberFormat="1" applyFont="1" applyFill="1" applyBorder="1" applyAlignment="1">
      <alignment vertical="center"/>
    </xf>
    <xf numFmtId="0" fontId="9" fillId="4" borderId="11" xfId="0" applyFont="1" applyFill="1" applyBorder="1" applyAlignment="1">
      <alignment vertical="center"/>
    </xf>
    <xf numFmtId="0" fontId="9" fillId="4" borderId="8" xfId="0" applyFont="1" applyFill="1" applyBorder="1" applyAlignment="1">
      <alignment vertical="center"/>
    </xf>
    <xf numFmtId="0" fontId="9" fillId="4" borderId="12" xfId="0" applyFont="1" applyFill="1" applyBorder="1" applyAlignment="1">
      <alignment vertical="center"/>
    </xf>
    <xf numFmtId="0" fontId="9" fillId="4" borderId="13" xfId="0" applyFont="1" applyFill="1" applyBorder="1" applyAlignment="1">
      <alignment vertical="center"/>
    </xf>
    <xf numFmtId="0" fontId="9" fillId="4" borderId="0" xfId="0" applyFont="1" applyFill="1" applyAlignment="1">
      <alignment vertical="center"/>
    </xf>
    <xf numFmtId="0" fontId="9" fillId="4" borderId="14" xfId="0" applyFont="1" applyFill="1" applyBorder="1" applyAlignment="1">
      <alignment vertical="center"/>
    </xf>
  </cellXfs>
  <cellStyles count="3">
    <cellStyle name="Currency" xfId="2" builtinId="4"/>
    <cellStyle name="Hyperlink" xfId="1" builtinId="8"/>
    <cellStyle name="Normal" xfId="0" builtinId="0"/>
  </cellStyles>
  <dxfs count="34">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bottom style="medium">
          <color indexed="64"/>
        </bottom>
      </border>
    </dxf>
    <dxf>
      <numFmt numFmtId="19" formatCode="m/d/yyyy"/>
      <fill>
        <patternFill patternType="solid">
          <fgColor indexed="64"/>
          <bgColor theme="4"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numFmt numFmtId="25" formatCode="h:mm"/>
      <fill>
        <patternFill patternType="none">
          <fgColor indexed="64"/>
          <bgColor indexed="65"/>
        </patternFill>
      </fill>
      <alignment horizontal="general" vertical="center" textRotation="0" wrapText="0" indent="0" justifyLastLine="0" shrinkToFit="0" readingOrder="0"/>
      <border diagonalUp="0" diagonalDown="0">
        <right style="thin">
          <color indexed="64"/>
        </right>
        <vertical/>
      </border>
    </dxf>
    <dxf>
      <fill>
        <patternFill patternType="none">
          <fgColor indexed="64"/>
          <bgColor indexed="65"/>
        </patternFill>
      </fill>
      <alignment horizontal="general" vertical="center" textRotation="0" wrapText="0" indent="0" justifyLastLine="0" shrinkToFit="0" readingOrder="0"/>
    </dxf>
    <dxf>
      <fill>
        <patternFill patternType="none">
          <fgColor indexed="64"/>
          <bgColor indexed="65"/>
        </patternFill>
      </fill>
      <alignment horizontal="general" vertical="center" textRotation="0" wrapText="0" indent="0" justifyLastLine="0" shrinkToFit="0" readingOrder="0"/>
    </dxf>
    <dxf>
      <numFmt numFmtId="25" formatCode="h:mm"/>
      <fill>
        <patternFill patternType="none">
          <fgColor indexed="64"/>
          <bgColor indexed="65"/>
        </patternFill>
      </fill>
      <alignment horizontal="general" vertical="center" textRotation="0" wrapText="0" indent="0" justifyLastLine="0" shrinkToFit="0" readingOrder="0"/>
    </dxf>
    <dxf>
      <numFmt numFmtId="1" formatCode="0"/>
      <fill>
        <patternFill patternType="none">
          <fgColor indexed="64"/>
          <bgColor indexed="65"/>
        </patternFill>
      </fill>
      <alignment horizontal="general" vertical="center" textRotation="0" wrapText="0" indent="0" justifyLastLine="0" shrinkToFit="0" readingOrder="0"/>
    </dxf>
    <dxf>
      <numFmt numFmtId="165" formatCode="mm/dd/yy;@"/>
      <fill>
        <patternFill patternType="none">
          <fgColor indexed="64"/>
          <bgColor auto="1"/>
        </patternFill>
      </fill>
      <alignment horizontal="general" vertical="center" textRotation="0" wrapText="0" indent="0" justifyLastLine="0" shrinkToFit="0" readingOrder="0"/>
    </dxf>
    <dxf>
      <numFmt numFmtId="1" formatCode="0"/>
      <fill>
        <patternFill patternType="none">
          <fgColor indexed="64"/>
          <bgColor indexed="65"/>
        </patternFill>
      </fill>
      <alignment horizontal="general" vertical="center" textRotation="0" wrapText="0" indent="0" justifyLastLine="0" shrinkToFit="0" readingOrder="0"/>
    </dxf>
    <dxf>
      <numFmt numFmtId="164" formatCode="m/d/yy;@"/>
      <fill>
        <patternFill patternType="none">
          <fgColor indexed="64"/>
          <bgColor auto="1"/>
        </patternFill>
      </fill>
      <alignment horizontal="general" vertical="center" textRotation="0" wrapText="0" indent="0" justifyLastLine="0" shrinkToFit="0" readingOrder="0"/>
    </dxf>
    <dxf>
      <fill>
        <patternFill patternType="none">
          <fgColor indexed="64"/>
          <bgColor indexed="65"/>
        </patternFill>
      </fill>
      <border diagonalUp="0" diagonalDown="0">
        <left style="medium">
          <color indexed="64"/>
        </left>
        <right/>
        <top/>
        <bottom/>
        <vertical/>
        <horizontal/>
      </border>
    </dxf>
    <dxf>
      <fill>
        <patternFill patternType="none">
          <fgColor indexed="64"/>
          <bgColor auto="1"/>
        </patternFill>
      </fill>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165" formatCode="mm/dd/yy;@"/>
      <fill>
        <patternFill patternType="none">
          <fgColor indexed="64"/>
          <bgColor indexed="65"/>
        </patternFill>
      </fill>
      <alignment horizontal="general" vertical="center" textRotation="0" wrapText="0" indent="0" justifyLastLine="0" shrinkToFit="0" readingOrder="0"/>
    </dxf>
    <dxf>
      <numFmt numFmtId="165" formatCode="mm/dd/yy;@"/>
      <fill>
        <patternFill patternType="none">
          <fgColor indexed="64"/>
          <bgColor indexed="65"/>
        </patternFill>
      </fill>
      <alignment horizontal="general" vertical="center" textRotation="0" wrapText="0" indent="0" justifyLastLine="0" shrinkToFit="0" readingOrder="0"/>
    </dxf>
    <dxf>
      <fill>
        <patternFill patternType="none">
          <fgColor indexed="64"/>
          <bgColor auto="1"/>
        </patternFill>
      </fill>
    </dxf>
    <dxf>
      <numFmt numFmtId="0" formatCode="General"/>
      <fill>
        <patternFill patternType="none">
          <fgColor indexed="64"/>
          <bgColor indexed="65"/>
        </patternFill>
      </fill>
    </dxf>
    <dxf>
      <fill>
        <patternFill patternType="none">
          <fgColor indexed="64"/>
          <bgColor indexed="65"/>
        </patternFill>
      </fill>
    </dxf>
    <dxf>
      <fill>
        <patternFill patternType="none">
          <fgColor indexed="64"/>
          <bgColor auto="1"/>
        </patternFill>
      </fill>
      <alignment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numFmt numFmtId="19" formatCode="m/d/yyyy"/>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border outline="0">
        <top style="medium">
          <color indexed="64"/>
        </top>
      </border>
    </dxf>
    <dxf>
      <fill>
        <patternFill patternType="none">
          <fgColor indexed="64"/>
          <bgColor auto="1"/>
        </patternFill>
      </fill>
      <alignment horizontal="general" vertical="center" textRotation="0" wrapText="0" indent="0" justifyLastLine="0" shrinkToFit="0" readingOrder="0"/>
    </dxf>
    <dxf>
      <border outline="0">
        <bottom style="medium">
          <color indexed="64"/>
        </bottom>
      </border>
    </dxf>
    <dxf>
      <fill>
        <patternFill patternType="solid">
          <fgColor indexed="64"/>
          <bgColor theme="4"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C71BA-4D2D-4FD6-8FED-81E04CA871EA}" name="Log_2026" displayName="Log_2026" ref="A3:Z157" totalsRowShown="0" headerRowDxfId="33" dataDxfId="31" headerRowBorderDxfId="32" tableBorderDxfId="30">
  <autoFilter ref="A3:Z157" xr:uid="{0D193467-F17A-4191-8C84-3095579AD105}"/>
  <tableColumns count="26">
    <tableColumn id="25" xr3:uid="{0B84F62A-448A-4BCC-AEAF-927192B4F8D5}" name="Count" dataDxfId="29">
      <calculatedColumnFormula array="1">ROW()-ROW(Log_2026[#Headers])</calculatedColumnFormula>
    </tableColumn>
    <tableColumn id="1" xr3:uid="{D4E355E0-2F75-479A-99E0-BFAB019F63CB}" name="Service Request #:" dataDxfId="28">
      <calculatedColumnFormula xml:space="preserve"> Log_2026[[#This Row],[Count]] &amp; "-26"</calculatedColumnFormula>
    </tableColumn>
    <tableColumn id="2" xr3:uid="{DDD8D321-9F75-4D8E-B47E-A2A8D163907C}" name="Date of Complaint:" dataDxfId="27"/>
    <tableColumn id="3" xr3:uid="{A99C9A03-76A2-4A8C-9C37-A7945A9B259C}" name="Location of Problem:" dataDxfId="26"/>
    <tableColumn id="4" xr3:uid="{88EC03C5-EECF-4AE8-8AD7-C70A1413DB20}" name="Problem (Brief):" dataDxfId="25"/>
    <tableColumn id="20" xr3:uid="{A024E90D-07C9-427D-8EDD-03E92031591D}" name="Request Topic" dataDxfId="24"/>
    <tableColumn id="15" xr3:uid="{561B92FA-AD21-4C7E-924F-0C8345DCEEF0}" name="Days Open:" dataDxfId="23">
      <calculatedColumnFormula>IF(Log_2026[[#This Row],[Date of Complaint:]]="","",IF(Log_2026[[#This Row],[Closed Date:]]&lt;&gt;"","Closed",TODAY()-Log_2026[[#This Row],[Date of Complaint:]]))</calculatedColumnFormula>
    </tableColumn>
    <tableColumn id="5" xr3:uid="{B27BFFB8-7AB1-45A8-8A7E-7645F619FE53}" name="Received By:" dataDxfId="22"/>
    <tableColumn id="28" xr3:uid="{AE20588D-CBA4-4AE0-8455-605483414CFD}" name="Primary Status" dataDxfId="21"/>
    <tableColumn id="27" xr3:uid="{9DB484F3-3798-4386-B276-2CE3BF491424}" name="Secondary Status" dataDxfId="20"/>
    <tableColumn id="6" xr3:uid="{F3C1995B-E734-42CE-A4E4-5AA09BD5EFA2}" name="Primary Dept:" dataDxfId="19"/>
    <tableColumn id="7" xr3:uid="{CAC44C1A-CC6D-48C5-BC08-4D414EEE9217}" name="2ndary Dept." dataDxfId="18"/>
    <tableColumn id="8" xr3:uid="{B0BE06AF-4518-4EBA-B2F3-15FCA8651EB4}" name="Date Sent:" dataDxfId="17"/>
    <tableColumn id="18" xr3:uid="{C535EE22-6E16-4516-9801-F8E35085E606}" name="Requestor name" dataDxfId="16"/>
    <tableColumn id="17" xr3:uid="{7B290907-E098-4A0A-8636-0A7C89393A3C}" name="Requestor ID" dataDxfId="15">
      <calculatedColumnFormula>_xlfn.XLOOKUP(Log_2026[[#This Row],[Requestor name]], ID_Key[Requestor name], ID_Key[Requestor ID], "")</calculatedColumnFormula>
    </tableColumn>
    <tableColumn id="9" xr3:uid="{EE660C6A-0D90-4EB8-AC07-78EB53ED6FDA}" name="Contact Name/Number" dataDxfId="14"/>
    <tableColumn id="26" xr3:uid="{2CB1443E-4805-499E-A42D-731C6AC9DD4C}" name="Date Acknowledged" dataDxfId="13"/>
    <tableColumn id="10" xr3:uid="{54249641-EB24-4615-AB63-7209A2E9295A}" name="Follow Up Due Date:" dataDxfId="12"/>
    <tableColumn id="16" xr3:uid="{EA338891-569B-4A51-AD21-2019E37C50E2}" name="Days Til Closed:" dataDxfId="11">
      <calculatedColumnFormula>IF(OR(Log_2026[[#This Row],[Closed Date:]]="",Log_2026[[#This Row],[Closed Date:]]&lt;Log_2026[[#This Row],[Date of Complaint:]]),"",Log_2026[[#This Row],[Closed Date:]]-Log_2026[[#This Row],[Date of Complaint:]])</calculatedColumnFormula>
    </tableColumn>
    <tableColumn id="11" xr3:uid="{1CC9F853-9900-418C-98DC-606B75E9FBFE}" name="Closed Date:" dataDxfId="10"/>
    <tableColumn id="19" xr3:uid="{6A1D647F-080D-42F7-A85E-29146E8B519B}" name="Number of Records" dataDxfId="9"/>
    <tableColumn id="22" xr3:uid="{BEC04045-76B7-4CEB-B16D-7BC40235AAFB}" name="Hours Worked To Date" dataDxfId="8"/>
    <tableColumn id="24" xr3:uid="{D4608F9D-643D-49FF-B487-3036201B3209}" name="Fees Assessed" dataDxfId="7" dataCellStyle="Currency"/>
    <tableColumn id="23" xr3:uid="{5C28920C-ABA7-4D52-9705-57A6C29292D8}" name="Fees Collected" dataDxfId="6" dataCellStyle="Currency"/>
    <tableColumn id="21" xr3:uid="{3FA9340C-ECB2-4F81-A2FE-6B58A6C6104F}" name="Hours Worked (Closed)" dataDxfId="5"/>
    <tableColumn id="13" xr3:uid="{26071496-4BB3-4AA0-937F-AC7C8B51F6C4}" name="Extra Notes:"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A70B95-DA99-4E7B-9788-4BD993E50C91}" name="ID_Key" displayName="ID_Key" ref="A1:B106" totalsRowShown="0" headerRowDxfId="3" headerRowBorderDxfId="2">
  <autoFilter ref="A1:B106" xr:uid="{6EA70B95-DA99-4E7B-9788-4BD993E50C91}"/>
  <tableColumns count="2">
    <tableColumn id="1" xr3:uid="{C4803D4B-A246-4162-87B3-A1124D6CD3A7}" name="Requestor name"/>
    <tableColumn id="2" xr3:uid="{183F58F3-CEF7-4821-B7DE-42C422547611}" name="Requestor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121190-67E1-47E2-99D7-CFA627492928}" name="Table2" displayName="Table2" ref="A1:A3" totalsRowShown="0" headerRowDxfId="1">
  <autoFilter ref="A1:A3" xr:uid="{6B121190-67E1-47E2-99D7-CFA627492928}"/>
  <tableColumns count="1">
    <tableColumn id="1" xr3:uid="{00825C9B-57C9-4389-9F77-A8D03B7EB3AA}" name="Primary 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94FDE0-4962-4CFB-A999-F1968E3B2AF4}" name="Table3" displayName="Table3" ref="C1:C13" totalsRowShown="0" headerRowDxfId="0">
  <autoFilter ref="C1:C13" xr:uid="{A894FDE0-4962-4CFB-A999-F1968E3B2AF4}"/>
  <tableColumns count="1">
    <tableColumn id="1" xr3:uid="{FC9198EA-E2E2-4B1E-AF4C-88F6A4C187A2}" name="Secondary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mailto:meilin55331@gmail.com;%20603-721-6179" TargetMode="External"/><Relationship Id="rId7" Type="http://schemas.openxmlformats.org/officeDocument/2006/relationships/printerSettings" Target="../printerSettings/printerSettings1.bin"/><Relationship Id="rId2" Type="http://schemas.openxmlformats.org/officeDocument/2006/relationships/hyperlink" Target="mailto:ajdoherty546@gmail.com;%20(603)455-2511" TargetMode="External"/><Relationship Id="rId1" Type="http://schemas.openxmlformats.org/officeDocument/2006/relationships/hyperlink" Target="mailto:cbeneat@wilcoxandbarton.com;%20603-372-2230" TargetMode="External"/><Relationship Id="rId6" Type="http://schemas.openxmlformats.org/officeDocument/2006/relationships/hyperlink" Target="mailto:amcontractingpro@gmail.com" TargetMode="External"/><Relationship Id="rId5" Type="http://schemas.openxmlformats.org/officeDocument/2006/relationships/hyperlink" Target="mailto:nawazazam@hotmail.com;%20603-848-3540" TargetMode="External"/><Relationship Id="rId4" Type="http://schemas.openxmlformats.org/officeDocument/2006/relationships/hyperlink" Target="mailto:chikitha262@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E252E-D974-4AA8-A514-84B80AC94F1B}">
  <sheetPr>
    <pageSetUpPr fitToPage="1"/>
  </sheetPr>
  <dimension ref="A1:Z159"/>
  <sheetViews>
    <sheetView tabSelected="1" zoomScale="85" zoomScaleNormal="85" workbookViewId="0">
      <pane ySplit="3" topLeftCell="A4" activePane="bottomLeft" state="frozen"/>
      <selection pane="bottomLeft"/>
    </sheetView>
  </sheetViews>
  <sheetFormatPr defaultRowHeight="14.4" x14ac:dyDescent="0.3"/>
  <cols>
    <col min="2" max="2" width="10.44140625" style="8" customWidth="1"/>
    <col min="3" max="3" width="19.6640625" style="9" customWidth="1"/>
    <col min="4" max="4" width="24" style="2" customWidth="1"/>
    <col min="5" max="5" width="42.5546875" style="7" customWidth="1"/>
    <col min="6" max="6" width="37.44140625" customWidth="1"/>
    <col min="7" max="7" width="11.109375" customWidth="1"/>
    <col min="8" max="8" width="10.6640625" customWidth="1"/>
    <col min="9" max="9" width="9.6640625" style="12" customWidth="1"/>
    <col min="10" max="10" width="41.88671875" style="12" customWidth="1"/>
    <col min="11" max="11" width="16.5546875" style="8" customWidth="1"/>
    <col min="12" max="12" width="16.88671875" style="1" customWidth="1"/>
    <col min="13" max="13" width="12.6640625" style="9" customWidth="1"/>
    <col min="14" max="14" width="18.5546875" style="9" customWidth="1"/>
    <col min="15" max="15" width="12.6640625" style="9" customWidth="1"/>
    <col min="16" max="16" width="55.109375" customWidth="1"/>
    <col min="17" max="17" width="14.44140625" style="47" customWidth="1"/>
    <col min="18" max="18" width="21.33203125" style="10" customWidth="1"/>
    <col min="19" max="19" width="21.33203125" style="28" customWidth="1"/>
    <col min="20" max="20" width="14.33203125" style="12" customWidth="1"/>
    <col min="21" max="21" width="14.33203125" style="28" customWidth="1"/>
    <col min="22" max="22" width="14.33203125" style="29" customWidth="1"/>
    <col min="23" max="24" width="14.33203125" style="48" customWidth="1"/>
    <col min="25" max="25" width="14.33203125" style="49" customWidth="1"/>
    <col min="26" max="26" width="38" customWidth="1"/>
  </cols>
  <sheetData>
    <row r="1" spans="1:26" ht="53.25" customHeight="1" x14ac:dyDescent="0.7">
      <c r="D1" s="57">
        <v>2026</v>
      </c>
      <c r="E1" s="55" t="s">
        <v>0</v>
      </c>
      <c r="F1" s="4"/>
      <c r="G1" s="26" t="s">
        <v>39</v>
      </c>
      <c r="H1" s="27">
        <f>COUNTIF(D3:D667,"91A Request")</f>
        <v>50</v>
      </c>
      <c r="I1" s="11"/>
      <c r="J1" s="11"/>
      <c r="L1" s="13"/>
      <c r="M1" s="13"/>
      <c r="N1" s="13"/>
      <c r="O1" s="13"/>
      <c r="Q1" s="61" t="s">
        <v>40</v>
      </c>
      <c r="R1" s="62"/>
      <c r="S1" s="62"/>
      <c r="T1" s="62"/>
      <c r="U1" s="62"/>
      <c r="V1" s="62"/>
      <c r="W1" s="62"/>
      <c r="X1" s="62"/>
      <c r="Y1" s="63"/>
      <c r="Z1" s="5"/>
    </row>
    <row r="2" spans="1:26" ht="15" customHeight="1" thickBot="1" x14ac:dyDescent="0.35">
      <c r="E2" s="5"/>
      <c r="F2" s="3"/>
      <c r="G2" s="3"/>
      <c r="H2" s="3"/>
      <c r="I2" s="11"/>
      <c r="J2" s="11"/>
      <c r="Q2" s="64"/>
      <c r="R2" s="65"/>
      <c r="S2" s="65"/>
      <c r="T2" s="65"/>
      <c r="U2" s="65"/>
      <c r="V2" s="65"/>
      <c r="W2" s="65"/>
      <c r="X2" s="65"/>
      <c r="Y2" s="66"/>
      <c r="Z2" s="5"/>
    </row>
    <row r="3" spans="1:26" s="2" customFormat="1" ht="39.75" customHeight="1" thickBot="1" x14ac:dyDescent="0.35">
      <c r="A3" s="24" t="s">
        <v>41</v>
      </c>
      <c r="B3" s="25" t="s">
        <v>42</v>
      </c>
      <c r="C3" s="14" t="s">
        <v>1</v>
      </c>
      <c r="D3" s="15" t="s">
        <v>2</v>
      </c>
      <c r="E3" s="15" t="s">
        <v>3</v>
      </c>
      <c r="F3" s="15" t="s">
        <v>43</v>
      </c>
      <c r="G3" s="15" t="s">
        <v>44</v>
      </c>
      <c r="H3" s="15" t="s">
        <v>27</v>
      </c>
      <c r="I3" s="17" t="s">
        <v>45</v>
      </c>
      <c r="J3" s="17" t="s">
        <v>46</v>
      </c>
      <c r="K3" s="15" t="s">
        <v>47</v>
      </c>
      <c r="L3" s="15" t="s">
        <v>4</v>
      </c>
      <c r="M3" s="14" t="s">
        <v>5</v>
      </c>
      <c r="N3" s="14" t="s">
        <v>48</v>
      </c>
      <c r="O3" s="14" t="s">
        <v>49</v>
      </c>
      <c r="P3" s="42" t="s">
        <v>6</v>
      </c>
      <c r="Q3" s="45" t="s">
        <v>50</v>
      </c>
      <c r="R3" s="44" t="s">
        <v>51</v>
      </c>
      <c r="S3" s="19" t="s">
        <v>52</v>
      </c>
      <c r="T3" s="16" t="s">
        <v>7</v>
      </c>
      <c r="U3" s="21" t="s">
        <v>53</v>
      </c>
      <c r="V3" s="22" t="s">
        <v>54</v>
      </c>
      <c r="W3" s="23" t="s">
        <v>55</v>
      </c>
      <c r="X3" s="23" t="s">
        <v>56</v>
      </c>
      <c r="Y3" s="46" t="s">
        <v>57</v>
      </c>
      <c r="Z3" s="43" t="s">
        <v>8</v>
      </c>
    </row>
    <row r="4" spans="1:26" ht="28.8" x14ac:dyDescent="0.3">
      <c r="A4" s="6">
        <v>1</v>
      </c>
      <c r="B4" s="8" t="str">
        <f xml:space="preserve"> Log_2026[[#This Row],[Count]] &amp; "-26"</f>
        <v>1-26</v>
      </c>
      <c r="C4" s="9">
        <v>46024</v>
      </c>
      <c r="D4" s="2" t="s">
        <v>23</v>
      </c>
      <c r="E4" s="7" t="s">
        <v>58</v>
      </c>
      <c r="G4">
        <f ca="1">IF(Log_2026[[#This Row],[Date of Complaint:]]="","",IF(Log_2026[[#This Row],[Closed Date:]]&lt;&gt;"","Closed",TODAY()-Log_2026[[#This Row],[Date of Complaint:]]))</f>
        <v>142</v>
      </c>
      <c r="H4" t="s">
        <v>28</v>
      </c>
      <c r="I4" s="12" t="s">
        <v>59</v>
      </c>
      <c r="J4" s="12" t="s">
        <v>60</v>
      </c>
      <c r="K4" s="8" t="s">
        <v>10</v>
      </c>
      <c r="M4" s="9">
        <v>46033</v>
      </c>
      <c r="N4" s="9" t="s">
        <v>61</v>
      </c>
      <c r="O4" s="9" t="str">
        <f>_xlfn.XLOOKUP(Log_2026[[#This Row],[Requestor name]], ID_Key[Requestor name], ID_Key[Requestor ID], "")</f>
        <v>RID0030</v>
      </c>
      <c r="P4" t="s">
        <v>33</v>
      </c>
      <c r="S4" s="28" t="str">
        <f>IF(OR(Log_2026[[#This Row],[Closed Date:]]="",Log_2026[[#This Row],[Closed Date:]]&lt;Log_2026[[#This Row],[Date of Complaint:]]),"",Log_2026[[#This Row],[Closed Date:]]-Log_2026[[#This Row],[Date of Complaint:]])</f>
        <v/>
      </c>
    </row>
    <row r="5" spans="1:26" ht="28.8" x14ac:dyDescent="0.3">
      <c r="A5" s="6">
        <v>2</v>
      </c>
      <c r="B5" s="8" t="str">
        <f xml:space="preserve"> Log_2026[[#This Row],[Count]] &amp; "-26"</f>
        <v>2-26</v>
      </c>
      <c r="C5" s="9">
        <v>46027</v>
      </c>
      <c r="D5" s="2" t="s">
        <v>62</v>
      </c>
      <c r="E5" s="7" t="s">
        <v>63</v>
      </c>
      <c r="G5" t="str">
        <f ca="1">IF(Log_2026[[#This Row],[Date of Complaint:]]="","",IF(Log_2026[[#This Row],[Closed Date:]]&lt;&gt;"","Closed",TODAY()-Log_2026[[#This Row],[Date of Complaint:]]))</f>
        <v>Closed</v>
      </c>
      <c r="H5" t="s">
        <v>28</v>
      </c>
      <c r="I5" s="12" t="s">
        <v>22</v>
      </c>
      <c r="J5" s="12" t="s">
        <v>64</v>
      </c>
      <c r="K5" s="8" t="s">
        <v>10</v>
      </c>
      <c r="M5" s="9">
        <v>46033</v>
      </c>
      <c r="N5" s="9" t="s">
        <v>65</v>
      </c>
      <c r="O5" s="9" t="str">
        <f>_xlfn.XLOOKUP(Log_2026[[#This Row],[Requestor name]], ID_Key[Requestor name], ID_Key[Requestor ID], "")</f>
        <v>RID0025</v>
      </c>
      <c r="P5" t="s">
        <v>66</v>
      </c>
      <c r="S5" s="28">
        <f>IF(OR(Log_2026[[#This Row],[Closed Date:]]="",Log_2026[[#This Row],[Closed Date:]]&lt;Log_2026[[#This Row],[Date of Complaint:]]),"",Log_2026[[#This Row],[Closed Date:]]-Log_2026[[#This Row],[Date of Complaint:]])</f>
        <v>7</v>
      </c>
      <c r="T5" s="12">
        <v>46034</v>
      </c>
    </row>
    <row r="6" spans="1:26" x14ac:dyDescent="0.3">
      <c r="A6" s="6">
        <v>3</v>
      </c>
      <c r="B6" s="8" t="str">
        <f xml:space="preserve"> Log_2026[[#This Row],[Count]] &amp; "-26"</f>
        <v>3-26</v>
      </c>
      <c r="C6" s="9">
        <v>46023</v>
      </c>
      <c r="D6" s="2" t="s">
        <v>67</v>
      </c>
      <c r="E6" s="7" t="s">
        <v>68</v>
      </c>
      <c r="G6" t="str">
        <f ca="1">IF(Log_2026[[#This Row],[Date of Complaint:]]="","",IF(Log_2026[[#This Row],[Closed Date:]]&lt;&gt;"","Closed",TODAY()-Log_2026[[#This Row],[Date of Complaint:]]))</f>
        <v>Closed</v>
      </c>
      <c r="H6" t="s">
        <v>28</v>
      </c>
      <c r="I6" s="12" t="s">
        <v>22</v>
      </c>
      <c r="J6" s="12" t="s">
        <v>64</v>
      </c>
      <c r="K6" s="8" t="s">
        <v>10</v>
      </c>
      <c r="M6" s="9">
        <v>46033</v>
      </c>
      <c r="N6" s="9" t="s">
        <v>69</v>
      </c>
      <c r="O6" s="9" t="str">
        <f>_xlfn.XLOOKUP(Log_2026[[#This Row],[Requestor name]], ID_Key[Requestor name], ID_Key[Requestor ID], "")</f>
        <v>RID0007</v>
      </c>
      <c r="P6" t="s">
        <v>70</v>
      </c>
      <c r="S6" s="28">
        <f>IF(OR(Log_2026[[#This Row],[Closed Date:]]="",Log_2026[[#This Row],[Closed Date:]]&lt;Log_2026[[#This Row],[Date of Complaint:]]),"",Log_2026[[#This Row],[Closed Date:]]-Log_2026[[#This Row],[Date of Complaint:]])</f>
        <v>11</v>
      </c>
      <c r="T6" s="12">
        <v>46034</v>
      </c>
    </row>
    <row r="7" spans="1:26" x14ac:dyDescent="0.3">
      <c r="A7" s="6">
        <v>4</v>
      </c>
      <c r="B7" s="8" t="str">
        <f xml:space="preserve"> Log_2026[[#This Row],[Count]] &amp; "-26"</f>
        <v>4-26</v>
      </c>
      <c r="C7" s="9">
        <v>46031</v>
      </c>
      <c r="D7" s="2" t="s">
        <v>71</v>
      </c>
      <c r="E7" s="7" t="s">
        <v>72</v>
      </c>
      <c r="G7" t="str">
        <f ca="1">IF(Log_2026[[#This Row],[Date of Complaint:]]="","",IF(Log_2026[[#This Row],[Closed Date:]]&lt;&gt;"","Closed",TODAY()-Log_2026[[#This Row],[Date of Complaint:]]))</f>
        <v>Closed</v>
      </c>
      <c r="H7" t="s">
        <v>28</v>
      </c>
      <c r="I7" s="12" t="s">
        <v>22</v>
      </c>
      <c r="J7" s="12" t="s">
        <v>64</v>
      </c>
      <c r="K7" s="8" t="s">
        <v>9</v>
      </c>
      <c r="L7" s="1" t="s">
        <v>73</v>
      </c>
      <c r="M7" s="9">
        <v>46033</v>
      </c>
      <c r="N7" s="9" t="s">
        <v>74</v>
      </c>
      <c r="O7" s="9" t="str">
        <f>_xlfn.XLOOKUP(Log_2026[[#This Row],[Requestor name]], ID_Key[Requestor name], ID_Key[Requestor ID], "")</f>
        <v>RID0024</v>
      </c>
      <c r="P7" t="s">
        <v>75</v>
      </c>
      <c r="S7" s="28">
        <f>IF(OR(Log_2026[[#This Row],[Closed Date:]]="",Log_2026[[#This Row],[Closed Date:]]&lt;Log_2026[[#This Row],[Date of Complaint:]]),"",Log_2026[[#This Row],[Closed Date:]]-Log_2026[[#This Row],[Date of Complaint:]])</f>
        <v>14</v>
      </c>
      <c r="T7" s="12">
        <v>46045</v>
      </c>
      <c r="Z7" t="s">
        <v>76</v>
      </c>
    </row>
    <row r="8" spans="1:26" x14ac:dyDescent="0.3">
      <c r="A8" s="6">
        <v>5</v>
      </c>
      <c r="B8" s="8" t="str">
        <f xml:space="preserve"> Log_2026[[#This Row],[Count]] &amp; "-26"</f>
        <v>5-26</v>
      </c>
      <c r="C8" s="9">
        <v>46030</v>
      </c>
      <c r="D8" s="2" t="s">
        <v>77</v>
      </c>
      <c r="E8" s="7" t="s">
        <v>78</v>
      </c>
      <c r="G8">
        <f ca="1">IF(Log_2026[[#This Row],[Date of Complaint:]]="","",IF(Log_2026[[#This Row],[Closed Date:]]&lt;&gt;"","Closed",TODAY()-Log_2026[[#This Row],[Date of Complaint:]]))</f>
        <v>136</v>
      </c>
      <c r="H8" t="s">
        <v>28</v>
      </c>
      <c r="I8" s="12" t="s">
        <v>59</v>
      </c>
      <c r="J8" s="12" t="s">
        <v>60</v>
      </c>
      <c r="K8" s="8" t="s">
        <v>73</v>
      </c>
      <c r="L8" s="1" t="s">
        <v>9</v>
      </c>
      <c r="M8" s="9">
        <v>46033</v>
      </c>
      <c r="N8" s="9" t="s">
        <v>79</v>
      </c>
      <c r="O8" s="9" t="str">
        <f>_xlfn.XLOOKUP(Log_2026[[#This Row],[Requestor name]], ID_Key[Requestor name], ID_Key[Requestor ID], "")</f>
        <v>RID0023</v>
      </c>
      <c r="P8" t="s">
        <v>80</v>
      </c>
      <c r="S8" s="28" t="str">
        <f>IF(OR(Log_2026[[#This Row],[Closed Date:]]="",Log_2026[[#This Row],[Closed Date:]]&lt;Log_2026[[#This Row],[Date of Complaint:]]),"",Log_2026[[#This Row],[Closed Date:]]-Log_2026[[#This Row],[Date of Complaint:]])</f>
        <v/>
      </c>
    </row>
    <row r="9" spans="1:26" x14ac:dyDescent="0.3">
      <c r="A9" s="6">
        <v>6</v>
      </c>
      <c r="B9" s="8" t="str">
        <f xml:space="preserve"> Log_2026[[#This Row],[Count]] &amp; "-26"</f>
        <v>6-26</v>
      </c>
      <c r="C9" s="9">
        <v>46035</v>
      </c>
      <c r="D9" s="2" t="s">
        <v>81</v>
      </c>
      <c r="E9" s="7" t="s">
        <v>82</v>
      </c>
      <c r="G9" t="str">
        <f ca="1">IF(Log_2026[[#This Row],[Date of Complaint:]]="","",IF(Log_2026[[#This Row],[Closed Date:]]&lt;&gt;"","Closed",TODAY()-Log_2026[[#This Row],[Date of Complaint:]]))</f>
        <v>Closed</v>
      </c>
      <c r="H9" t="s">
        <v>28</v>
      </c>
      <c r="I9" s="12" t="s">
        <v>22</v>
      </c>
      <c r="J9" s="12" t="s">
        <v>64</v>
      </c>
      <c r="K9" s="8" t="s">
        <v>10</v>
      </c>
      <c r="M9" s="9">
        <v>46035</v>
      </c>
      <c r="N9" s="9" t="s">
        <v>83</v>
      </c>
      <c r="O9" s="9" t="str">
        <f>_xlfn.XLOOKUP(Log_2026[[#This Row],[Requestor name]], ID_Key[Requestor name], ID_Key[Requestor ID], "")</f>
        <v>RID0032</v>
      </c>
      <c r="P9" t="s">
        <v>84</v>
      </c>
      <c r="S9" s="28">
        <f>IF(OR(Log_2026[[#This Row],[Closed Date:]]="",Log_2026[[#This Row],[Closed Date:]]&lt;Log_2026[[#This Row],[Date of Complaint:]]),"",Log_2026[[#This Row],[Closed Date:]]-Log_2026[[#This Row],[Date of Complaint:]])</f>
        <v>3</v>
      </c>
      <c r="T9" s="12">
        <v>46038</v>
      </c>
    </row>
    <row r="10" spans="1:26" ht="28.8" x14ac:dyDescent="0.3">
      <c r="A10" s="6">
        <v>7</v>
      </c>
      <c r="B10" s="8" t="str">
        <f xml:space="preserve"> Log_2026[[#This Row],[Count]] &amp; "-26"</f>
        <v>7-26</v>
      </c>
      <c r="C10" s="9">
        <v>46036</v>
      </c>
      <c r="D10" s="2" t="s">
        <v>85</v>
      </c>
      <c r="E10" s="7" t="s">
        <v>86</v>
      </c>
      <c r="G10" t="str">
        <f ca="1">IF(Log_2026[[#This Row],[Date of Complaint:]]="","",IF(Log_2026[[#This Row],[Closed Date:]]&lt;&gt;"","Closed",TODAY()-Log_2026[[#This Row],[Date of Complaint:]]))</f>
        <v>Closed</v>
      </c>
      <c r="H10" t="s">
        <v>28</v>
      </c>
      <c r="I10" s="12" t="s">
        <v>22</v>
      </c>
      <c r="J10" s="12" t="s">
        <v>64</v>
      </c>
      <c r="K10" s="8" t="s">
        <v>9</v>
      </c>
      <c r="M10" s="9">
        <v>46037</v>
      </c>
      <c r="N10" s="9" t="s">
        <v>87</v>
      </c>
      <c r="O10" s="9" t="str">
        <f>_xlfn.XLOOKUP(Log_2026[[#This Row],[Requestor name]], ID_Key[Requestor name], ID_Key[Requestor ID], "")</f>
        <v>RID0035</v>
      </c>
      <c r="P10" t="s">
        <v>88</v>
      </c>
      <c r="S10" s="28">
        <f>IF(OR(Log_2026[[#This Row],[Closed Date:]]="",Log_2026[[#This Row],[Closed Date:]]&lt;Log_2026[[#This Row],[Date of Complaint:]]),"",Log_2026[[#This Row],[Closed Date:]]-Log_2026[[#This Row],[Date of Complaint:]])</f>
        <v>41</v>
      </c>
      <c r="T10" s="12">
        <v>46077</v>
      </c>
      <c r="Z10" t="s">
        <v>89</v>
      </c>
    </row>
    <row r="11" spans="1:26" x14ac:dyDescent="0.3">
      <c r="A11" s="6">
        <v>8</v>
      </c>
      <c r="B11" s="8" t="str">
        <f xml:space="preserve"> Log_2026[[#This Row],[Count]] &amp; "-26"</f>
        <v>8-26</v>
      </c>
      <c r="C11" s="9">
        <v>46037</v>
      </c>
      <c r="D11" s="2" t="s">
        <v>90</v>
      </c>
      <c r="E11" s="7" t="s">
        <v>91</v>
      </c>
      <c r="G11" t="str">
        <f ca="1">IF(Log_2026[[#This Row],[Date of Complaint:]]="","",IF(Log_2026[[#This Row],[Closed Date:]]&lt;&gt;"","Closed",TODAY()-Log_2026[[#This Row],[Date of Complaint:]]))</f>
        <v>Closed</v>
      </c>
      <c r="H11" t="s">
        <v>28</v>
      </c>
      <c r="I11" s="12" t="s">
        <v>22</v>
      </c>
      <c r="J11" s="12" t="s">
        <v>64</v>
      </c>
      <c r="K11" s="8" t="s">
        <v>9</v>
      </c>
      <c r="M11" s="9">
        <v>46038</v>
      </c>
      <c r="N11" s="9" t="s">
        <v>92</v>
      </c>
      <c r="O11" s="9" t="str">
        <f>_xlfn.XLOOKUP(Log_2026[[#This Row],[Requestor name]], ID_Key[Requestor name], ID_Key[Requestor ID], "")</f>
        <v>RID0015</v>
      </c>
      <c r="P11" t="s">
        <v>93</v>
      </c>
      <c r="S11" s="28">
        <f>IF(OR(Log_2026[[#This Row],[Closed Date:]]="",Log_2026[[#This Row],[Closed Date:]]&lt;Log_2026[[#This Row],[Date of Complaint:]]),"",Log_2026[[#This Row],[Closed Date:]]-Log_2026[[#This Row],[Date of Complaint:]])</f>
        <v>6</v>
      </c>
      <c r="T11" s="12">
        <v>46043</v>
      </c>
      <c r="Z11" t="s">
        <v>94</v>
      </c>
    </row>
    <row r="12" spans="1:26" x14ac:dyDescent="0.3">
      <c r="A12" s="6">
        <v>9</v>
      </c>
      <c r="B12" s="8" t="str">
        <f xml:space="preserve"> Log_2026[[#This Row],[Count]] &amp; "-26"</f>
        <v>9-26</v>
      </c>
      <c r="C12" s="9">
        <v>46042</v>
      </c>
      <c r="D12" s="2" t="s">
        <v>95</v>
      </c>
      <c r="E12" s="7" t="s">
        <v>96</v>
      </c>
      <c r="G12" t="str">
        <f ca="1">IF(Log_2026[[#This Row],[Date of Complaint:]]="","",IF(Log_2026[[#This Row],[Closed Date:]]&lt;&gt;"","Closed",TODAY()-Log_2026[[#This Row],[Date of Complaint:]]))</f>
        <v>Closed</v>
      </c>
      <c r="H12" t="s">
        <v>28</v>
      </c>
      <c r="I12" s="12" t="s">
        <v>22</v>
      </c>
      <c r="J12" s="12" t="s">
        <v>64</v>
      </c>
      <c r="K12" s="8" t="s">
        <v>11</v>
      </c>
      <c r="M12" s="9">
        <v>46043</v>
      </c>
      <c r="N12" s="9" t="s">
        <v>97</v>
      </c>
      <c r="O12" s="9" t="str">
        <f>_xlfn.XLOOKUP(Log_2026[[#This Row],[Requestor name]], ID_Key[Requestor name], ID_Key[Requestor ID], "")</f>
        <v>RID0014</v>
      </c>
      <c r="P12" t="s">
        <v>30</v>
      </c>
      <c r="S12" s="28">
        <f>IF(OR(Log_2026[[#This Row],[Closed Date:]]="",Log_2026[[#This Row],[Closed Date:]]&lt;Log_2026[[#This Row],[Date of Complaint:]]),"",Log_2026[[#This Row],[Closed Date:]]-Log_2026[[#This Row],[Date of Complaint:]])</f>
        <v>2</v>
      </c>
      <c r="T12" s="12">
        <v>46044</v>
      </c>
    </row>
    <row r="13" spans="1:26" x14ac:dyDescent="0.3">
      <c r="A13" s="6">
        <v>10</v>
      </c>
      <c r="B13" s="8" t="str">
        <f xml:space="preserve"> Log_2026[[#This Row],[Count]] &amp; "-26"</f>
        <v>10-26</v>
      </c>
      <c r="C13" s="9">
        <v>46042</v>
      </c>
      <c r="D13" s="2" t="s">
        <v>95</v>
      </c>
      <c r="E13" s="7" t="s">
        <v>98</v>
      </c>
      <c r="G13" t="str">
        <f ca="1">IF(Log_2026[[#This Row],[Date of Complaint:]]="","",IF(Log_2026[[#This Row],[Closed Date:]]&lt;&gt;"","Closed",TODAY()-Log_2026[[#This Row],[Date of Complaint:]]))</f>
        <v>Closed</v>
      </c>
      <c r="H13" t="s">
        <v>28</v>
      </c>
      <c r="I13" s="12" t="s">
        <v>22</v>
      </c>
      <c r="J13" s="12" t="s">
        <v>64</v>
      </c>
      <c r="K13" s="8" t="s">
        <v>11</v>
      </c>
      <c r="M13" s="9">
        <v>46043</v>
      </c>
      <c r="N13" s="9" t="s">
        <v>97</v>
      </c>
      <c r="O13" s="9" t="str">
        <f>_xlfn.XLOOKUP(Log_2026[[#This Row],[Requestor name]], ID_Key[Requestor name], ID_Key[Requestor ID], "")</f>
        <v>RID0014</v>
      </c>
      <c r="P13" t="s">
        <v>30</v>
      </c>
      <c r="S13" s="28">
        <f>IF(OR(Log_2026[[#This Row],[Closed Date:]]="",Log_2026[[#This Row],[Closed Date:]]&lt;Log_2026[[#This Row],[Date of Complaint:]]),"",Log_2026[[#This Row],[Closed Date:]]-Log_2026[[#This Row],[Date of Complaint:]])</f>
        <v>2</v>
      </c>
      <c r="T13" s="12">
        <v>46044</v>
      </c>
    </row>
    <row r="14" spans="1:26" x14ac:dyDescent="0.3">
      <c r="A14" s="6">
        <v>11</v>
      </c>
      <c r="B14" s="8" t="str">
        <f xml:space="preserve"> Log_2026[[#This Row],[Count]] &amp; "-26"</f>
        <v>11-26</v>
      </c>
      <c r="C14" s="9">
        <v>46036</v>
      </c>
      <c r="D14" s="2" t="s">
        <v>99</v>
      </c>
      <c r="E14" s="7" t="s">
        <v>100</v>
      </c>
      <c r="G14" t="str">
        <f ca="1">IF(Log_2026[[#This Row],[Date of Complaint:]]="","",IF(Log_2026[[#This Row],[Closed Date:]]&lt;&gt;"","Closed",TODAY()-Log_2026[[#This Row],[Date of Complaint:]]))</f>
        <v>Closed</v>
      </c>
      <c r="H14" t="s">
        <v>28</v>
      </c>
      <c r="I14" s="12" t="s">
        <v>22</v>
      </c>
      <c r="J14" s="12" t="s">
        <v>64</v>
      </c>
      <c r="K14" s="8" t="s">
        <v>9</v>
      </c>
      <c r="M14" s="9">
        <v>46043</v>
      </c>
      <c r="N14" s="9" t="s">
        <v>101</v>
      </c>
      <c r="O14" s="9" t="str">
        <f>_xlfn.XLOOKUP(Log_2026[[#This Row],[Requestor name]], ID_Key[Requestor name], ID_Key[Requestor ID], "")</f>
        <v>RID0021</v>
      </c>
      <c r="P14" t="s">
        <v>102</v>
      </c>
      <c r="S14" s="28">
        <f>IF(OR(Log_2026[[#This Row],[Closed Date:]]="",Log_2026[[#This Row],[Closed Date:]]&lt;Log_2026[[#This Row],[Date of Complaint:]]),"",Log_2026[[#This Row],[Closed Date:]]-Log_2026[[#This Row],[Date of Complaint:]])</f>
        <v>36</v>
      </c>
      <c r="T14" s="12">
        <v>46072</v>
      </c>
      <c r="Z14" t="s">
        <v>103</v>
      </c>
    </row>
    <row r="15" spans="1:26" x14ac:dyDescent="0.3">
      <c r="A15" s="6">
        <v>12</v>
      </c>
      <c r="B15" s="8" t="str">
        <f xml:space="preserve"> Log_2026[[#This Row],[Count]] &amp; "-26"</f>
        <v>12-26</v>
      </c>
      <c r="C15" s="9">
        <v>46049</v>
      </c>
      <c r="D15" s="2" t="s">
        <v>14</v>
      </c>
      <c r="E15" s="7" t="s">
        <v>104</v>
      </c>
      <c r="F15" t="s">
        <v>105</v>
      </c>
      <c r="G15" t="str">
        <f ca="1">IF(Log_2026[[#This Row],[Date of Complaint:]]="","",IF(Log_2026[[#This Row],[Closed Date:]]&lt;&gt;"","Closed",TODAY()-Log_2026[[#This Row],[Date of Complaint:]]))</f>
        <v>Closed</v>
      </c>
      <c r="H15" t="s">
        <v>28</v>
      </c>
      <c r="I15" s="12" t="s">
        <v>22</v>
      </c>
      <c r="J15" s="12" t="s">
        <v>64</v>
      </c>
      <c r="K15" s="8" t="s">
        <v>9</v>
      </c>
      <c r="M15" s="9">
        <v>46049</v>
      </c>
      <c r="N15" s="9" t="s">
        <v>106</v>
      </c>
      <c r="O15" s="9" t="str">
        <f>_xlfn.XLOOKUP(Log_2026[[#This Row],[Requestor name]], ID_Key[Requestor name], ID_Key[Requestor ID], "")</f>
        <v>RID0018</v>
      </c>
      <c r="P15" t="s">
        <v>107</v>
      </c>
      <c r="Q15" s="50">
        <v>46052</v>
      </c>
      <c r="S15" s="28">
        <f>IF(OR(Log_2026[[#This Row],[Closed Date:]]="",Log_2026[[#This Row],[Closed Date:]]&lt;Log_2026[[#This Row],[Date of Complaint:]]),"",Log_2026[[#This Row],[Closed Date:]]-Log_2026[[#This Row],[Date of Complaint:]])</f>
        <v>6</v>
      </c>
      <c r="T15" s="12">
        <v>46055</v>
      </c>
      <c r="U15" s="28">
        <v>4</v>
      </c>
      <c r="W15" s="48">
        <v>0</v>
      </c>
      <c r="X15" s="48">
        <v>0</v>
      </c>
      <c r="Y15" s="49">
        <f>Log_2026[[#This Row],[Hours Worked To Date]]</f>
        <v>0</v>
      </c>
    </row>
    <row r="16" spans="1:26" ht="28.8" x14ac:dyDescent="0.3">
      <c r="A16" s="6">
        <v>13</v>
      </c>
      <c r="B16" s="8" t="str">
        <f xml:space="preserve"> Log_2026[[#This Row],[Count]] &amp; "-26"</f>
        <v>13-26</v>
      </c>
      <c r="C16" s="9">
        <v>46050</v>
      </c>
      <c r="D16" s="2" t="s">
        <v>108</v>
      </c>
      <c r="E16" s="7" t="s">
        <v>109</v>
      </c>
      <c r="G16" t="str">
        <f ca="1">IF(Log_2026[[#This Row],[Date of Complaint:]]="","",IF(Log_2026[[#This Row],[Closed Date:]]&lt;&gt;"","Closed",TODAY()-Log_2026[[#This Row],[Date of Complaint:]]))</f>
        <v>Closed</v>
      </c>
      <c r="H16" t="s">
        <v>28</v>
      </c>
      <c r="I16" s="12" t="s">
        <v>22</v>
      </c>
      <c r="J16" s="12" t="s">
        <v>64</v>
      </c>
      <c r="K16" s="8" t="s">
        <v>10</v>
      </c>
      <c r="M16" s="9">
        <v>46050</v>
      </c>
      <c r="N16" s="9" t="s">
        <v>110</v>
      </c>
      <c r="O16" s="9" t="str">
        <f>_xlfn.XLOOKUP(Log_2026[[#This Row],[Requestor name]], ID_Key[Requestor name], ID_Key[Requestor ID], "")</f>
        <v>RID0004</v>
      </c>
      <c r="P16" t="s">
        <v>110</v>
      </c>
      <c r="S16" s="28">
        <f>IF(OR(Log_2026[[#This Row],[Closed Date:]]="",Log_2026[[#This Row],[Closed Date:]]&lt;Log_2026[[#This Row],[Date of Complaint:]]),"",Log_2026[[#This Row],[Closed Date:]]-Log_2026[[#This Row],[Date of Complaint:]])</f>
        <v>0</v>
      </c>
      <c r="T16" s="12">
        <v>46050</v>
      </c>
    </row>
    <row r="17" spans="1:26" ht="28.8" x14ac:dyDescent="0.3">
      <c r="A17" s="6">
        <v>14</v>
      </c>
      <c r="B17" s="8" t="str">
        <f xml:space="preserve"> Log_2026[[#This Row],[Count]] &amp; "-26"</f>
        <v>14-26</v>
      </c>
      <c r="C17" s="9">
        <v>46051</v>
      </c>
      <c r="D17" s="2" t="s">
        <v>32</v>
      </c>
      <c r="E17" s="7" t="s">
        <v>111</v>
      </c>
      <c r="G17" t="str">
        <f ca="1">IF(Log_2026[[#This Row],[Date of Complaint:]]="","",IF(Log_2026[[#This Row],[Closed Date:]]&lt;&gt;"","Closed",TODAY()-Log_2026[[#This Row],[Date of Complaint:]]))</f>
        <v>Closed</v>
      </c>
      <c r="H17" t="s">
        <v>28</v>
      </c>
      <c r="I17" s="12" t="s">
        <v>22</v>
      </c>
      <c r="J17" s="12" t="s">
        <v>64</v>
      </c>
      <c r="K17" s="8" t="s">
        <v>10</v>
      </c>
      <c r="M17" s="9">
        <v>46051</v>
      </c>
      <c r="N17" s="9" t="s">
        <v>112</v>
      </c>
      <c r="O17" s="9" t="str">
        <f>_xlfn.XLOOKUP(Log_2026[[#This Row],[Requestor name]], ID_Key[Requestor name], ID_Key[Requestor ID], "")</f>
        <v>RID0029</v>
      </c>
      <c r="P17" t="s">
        <v>113</v>
      </c>
      <c r="S17" s="28">
        <f>IF(OR(Log_2026[[#This Row],[Closed Date:]]="",Log_2026[[#This Row],[Closed Date:]]&lt;Log_2026[[#This Row],[Date of Complaint:]]),"",Log_2026[[#This Row],[Closed Date:]]-Log_2026[[#This Row],[Date of Complaint:]])</f>
        <v>1</v>
      </c>
      <c r="T17" s="12">
        <v>46052</v>
      </c>
    </row>
    <row r="18" spans="1:26" x14ac:dyDescent="0.3">
      <c r="A18" s="6">
        <v>15</v>
      </c>
      <c r="B18" s="8" t="str">
        <f xml:space="preserve"> Log_2026[[#This Row],[Count]] &amp; "-26"</f>
        <v>15-26</v>
      </c>
      <c r="C18" s="9">
        <v>46052</v>
      </c>
      <c r="D18" s="2" t="s">
        <v>114</v>
      </c>
      <c r="E18" s="7" t="s">
        <v>115</v>
      </c>
      <c r="G18" t="str">
        <f ca="1">IF(Log_2026[[#This Row],[Date of Complaint:]]="","",IF(Log_2026[[#This Row],[Closed Date:]]&lt;&gt;"","Closed",TODAY()-Log_2026[[#This Row],[Date of Complaint:]]))</f>
        <v>Closed</v>
      </c>
      <c r="H18" t="s">
        <v>28</v>
      </c>
      <c r="I18" s="12" t="s">
        <v>22</v>
      </c>
      <c r="J18" s="12" t="s">
        <v>116</v>
      </c>
      <c r="K18" s="8" t="s">
        <v>117</v>
      </c>
      <c r="M18" s="9">
        <v>46052</v>
      </c>
      <c r="N18" s="9" t="s">
        <v>118</v>
      </c>
      <c r="O18" s="9" t="str">
        <f>_xlfn.XLOOKUP(Log_2026[[#This Row],[Requestor name]], ID_Key[Requestor name], ID_Key[Requestor ID], "")</f>
        <v>RID0036</v>
      </c>
      <c r="P18" t="s">
        <v>119</v>
      </c>
      <c r="S18" s="28">
        <f>IF(OR(Log_2026[[#This Row],[Closed Date:]]="",Log_2026[[#This Row],[Closed Date:]]&lt;Log_2026[[#This Row],[Date of Complaint:]]),"",Log_2026[[#This Row],[Closed Date:]]-Log_2026[[#This Row],[Date of Complaint:]])</f>
        <v>75</v>
      </c>
      <c r="T18" s="12">
        <v>46127</v>
      </c>
    </row>
    <row r="19" spans="1:26" x14ac:dyDescent="0.3">
      <c r="A19" s="6">
        <v>16</v>
      </c>
      <c r="B19" s="8" t="str">
        <f xml:space="preserve"> Log_2026[[#This Row],[Count]] &amp; "-26"</f>
        <v>16-26</v>
      </c>
      <c r="C19" s="9">
        <v>46052</v>
      </c>
      <c r="D19" s="2" t="s">
        <v>120</v>
      </c>
      <c r="E19" s="7" t="s">
        <v>121</v>
      </c>
      <c r="G19">
        <f ca="1">IF(Log_2026[[#This Row],[Date of Complaint:]]="","",IF(Log_2026[[#This Row],[Closed Date:]]&lt;&gt;"","Closed",TODAY()-Log_2026[[#This Row],[Date of Complaint:]]))</f>
        <v>114</v>
      </c>
      <c r="H19" t="s">
        <v>28</v>
      </c>
      <c r="I19" s="12" t="s">
        <v>59</v>
      </c>
      <c r="J19" s="12" t="s">
        <v>60</v>
      </c>
      <c r="K19" s="8" t="s">
        <v>11</v>
      </c>
      <c r="L19" s="1" t="s">
        <v>10</v>
      </c>
      <c r="M19" s="9">
        <v>46052</v>
      </c>
      <c r="N19" s="9" t="s">
        <v>122</v>
      </c>
      <c r="O19" s="9" t="str">
        <f>_xlfn.XLOOKUP(Log_2026[[#This Row],[Requestor name]], ID_Key[Requestor name], ID_Key[Requestor ID], "")</f>
        <v>RID0020</v>
      </c>
      <c r="P19" t="s">
        <v>123</v>
      </c>
      <c r="S19" s="28" t="str">
        <f>IF(OR(Log_2026[[#This Row],[Closed Date:]]="",Log_2026[[#This Row],[Closed Date:]]&lt;Log_2026[[#This Row],[Date of Complaint:]]),"",Log_2026[[#This Row],[Closed Date:]]-Log_2026[[#This Row],[Date of Complaint:]])</f>
        <v/>
      </c>
    </row>
    <row r="20" spans="1:26" x14ac:dyDescent="0.3">
      <c r="A20" s="6">
        <v>17</v>
      </c>
      <c r="B20" s="8" t="str">
        <f xml:space="preserve"> Log_2026[[#This Row],[Count]] &amp; "-26"</f>
        <v>17-26</v>
      </c>
      <c r="C20" s="9">
        <v>46055</v>
      </c>
      <c r="D20" s="2" t="s">
        <v>14</v>
      </c>
      <c r="E20" s="7" t="s">
        <v>124</v>
      </c>
      <c r="F20" t="s">
        <v>125</v>
      </c>
      <c r="G20" t="str">
        <f ca="1">IF(Log_2026[[#This Row],[Date of Complaint:]]="","",IF(Log_2026[[#This Row],[Closed Date:]]&lt;&gt;"","Closed",TODAY()-Log_2026[[#This Row],[Date of Complaint:]]))</f>
        <v>Closed</v>
      </c>
      <c r="H20" t="s">
        <v>28</v>
      </c>
      <c r="I20" s="12" t="s">
        <v>22</v>
      </c>
      <c r="J20" s="12" t="s">
        <v>64</v>
      </c>
      <c r="K20" s="8" t="s">
        <v>11</v>
      </c>
      <c r="L20" s="1" t="s">
        <v>9</v>
      </c>
      <c r="M20" s="9">
        <v>46055</v>
      </c>
      <c r="N20" s="9" t="s">
        <v>126</v>
      </c>
      <c r="O20" s="9" t="str">
        <f>_xlfn.XLOOKUP(Log_2026[[#This Row],[Requestor name]], ID_Key[Requestor name], ID_Key[Requestor ID], "")</f>
        <v>RID0019</v>
      </c>
      <c r="P20" t="s">
        <v>127</v>
      </c>
      <c r="Q20" s="50">
        <v>46057</v>
      </c>
      <c r="S20" s="28">
        <f>IF(OR(Log_2026[[#This Row],[Closed Date:]]="",Log_2026[[#This Row],[Closed Date:]]&lt;Log_2026[[#This Row],[Date of Complaint:]]),"",Log_2026[[#This Row],[Closed Date:]]-Log_2026[[#This Row],[Date of Complaint:]])</f>
        <v>2</v>
      </c>
      <c r="T20" s="12">
        <v>46057</v>
      </c>
      <c r="U20" s="28">
        <v>122</v>
      </c>
      <c r="W20" s="48">
        <v>0</v>
      </c>
      <c r="X20" s="48">
        <v>0</v>
      </c>
      <c r="Y20" s="49">
        <f>Log_2026[[#This Row],[Hours Worked To Date]]</f>
        <v>0</v>
      </c>
    </row>
    <row r="21" spans="1:26" x14ac:dyDescent="0.3">
      <c r="A21" s="6">
        <v>18</v>
      </c>
      <c r="B21" s="8" t="str">
        <f xml:space="preserve"> Log_2026[[#This Row],[Count]] &amp; "-26"</f>
        <v>18-26</v>
      </c>
      <c r="C21" s="9">
        <v>46052</v>
      </c>
      <c r="D21" s="2" t="s">
        <v>128</v>
      </c>
      <c r="E21" s="7" t="s">
        <v>129</v>
      </c>
      <c r="G21" t="str">
        <f ca="1">IF(Log_2026[[#This Row],[Date of Complaint:]]="","",IF(Log_2026[[#This Row],[Closed Date:]]&lt;&gt;"","Closed",TODAY()-Log_2026[[#This Row],[Date of Complaint:]]))</f>
        <v>Closed</v>
      </c>
      <c r="H21" t="s">
        <v>28</v>
      </c>
      <c r="I21" s="12" t="s">
        <v>22</v>
      </c>
      <c r="J21" s="12" t="s">
        <v>64</v>
      </c>
      <c r="K21" s="8" t="s">
        <v>9</v>
      </c>
      <c r="M21" s="9">
        <v>46055</v>
      </c>
      <c r="N21" s="9" t="s">
        <v>130</v>
      </c>
      <c r="O21" s="9" t="str">
        <f>_xlfn.XLOOKUP(Log_2026[[#This Row],[Requestor name]], ID_Key[Requestor name], ID_Key[Requestor ID], "")</f>
        <v>RID0012</v>
      </c>
      <c r="P21" t="s">
        <v>131</v>
      </c>
      <c r="S21" s="28">
        <f>IF(OR(Log_2026[[#This Row],[Closed Date:]]="",Log_2026[[#This Row],[Closed Date:]]&lt;Log_2026[[#This Row],[Date of Complaint:]]),"",Log_2026[[#This Row],[Closed Date:]]-Log_2026[[#This Row],[Date of Complaint:]])</f>
        <v>68</v>
      </c>
      <c r="T21" s="12">
        <v>46120</v>
      </c>
    </row>
    <row r="22" spans="1:26" ht="28.8" x14ac:dyDescent="0.3">
      <c r="A22" s="6">
        <v>19</v>
      </c>
      <c r="B22" s="8" t="str">
        <f xml:space="preserve"> Log_2026[[#This Row],[Count]] &amp; "-26"</f>
        <v>19-26</v>
      </c>
      <c r="C22" s="9">
        <v>46055</v>
      </c>
      <c r="D22" s="2" t="s">
        <v>14</v>
      </c>
      <c r="E22" s="7" t="s">
        <v>132</v>
      </c>
      <c r="F22" t="s">
        <v>133</v>
      </c>
      <c r="G22" t="str">
        <f ca="1">IF(Log_2026[[#This Row],[Date of Complaint:]]="","",IF(Log_2026[[#This Row],[Closed Date:]]&lt;&gt;"","Closed",TODAY()-Log_2026[[#This Row],[Date of Complaint:]]))</f>
        <v>Closed</v>
      </c>
      <c r="H22" t="s">
        <v>28</v>
      </c>
      <c r="I22" s="12" t="s">
        <v>22</v>
      </c>
      <c r="J22" s="12" t="s">
        <v>64</v>
      </c>
      <c r="K22" s="8" t="s">
        <v>11</v>
      </c>
      <c r="L22" s="1" t="s">
        <v>134</v>
      </c>
      <c r="M22" s="9">
        <v>46055</v>
      </c>
      <c r="N22" s="9" t="s">
        <v>126</v>
      </c>
      <c r="O22" s="9" t="str">
        <f>_xlfn.XLOOKUP(Log_2026[[#This Row],[Requestor name]], ID_Key[Requestor name], ID_Key[Requestor ID], "")</f>
        <v>RID0019</v>
      </c>
      <c r="P22" t="s">
        <v>127</v>
      </c>
      <c r="Q22" s="50">
        <v>46057</v>
      </c>
      <c r="S22" s="28">
        <f>IF(OR(Log_2026[[#This Row],[Closed Date:]]="",Log_2026[[#This Row],[Closed Date:]]&lt;Log_2026[[#This Row],[Date of Complaint:]]),"",Log_2026[[#This Row],[Closed Date:]]-Log_2026[[#This Row],[Date of Complaint:]])</f>
        <v>2</v>
      </c>
      <c r="T22" s="12">
        <v>46057</v>
      </c>
      <c r="U22" s="28">
        <v>19</v>
      </c>
      <c r="W22" s="48">
        <v>0</v>
      </c>
      <c r="X22" s="48">
        <v>0</v>
      </c>
      <c r="Y22" s="49">
        <f>Log_2026[[#This Row],[Hours Worked To Date]]</f>
        <v>0</v>
      </c>
    </row>
    <row r="23" spans="1:26" ht="28.8" x14ac:dyDescent="0.3">
      <c r="A23" s="6">
        <v>20</v>
      </c>
      <c r="B23" s="8" t="str">
        <f xml:space="preserve"> Log_2026[[#This Row],[Count]] &amp; "-26"</f>
        <v>20-26</v>
      </c>
      <c r="C23" s="9">
        <v>46052</v>
      </c>
      <c r="D23" s="2" t="s">
        <v>14</v>
      </c>
      <c r="E23" s="7" t="s">
        <v>135</v>
      </c>
      <c r="F23" t="s">
        <v>136</v>
      </c>
      <c r="G23" t="str">
        <f ca="1">IF(Log_2026[[#This Row],[Date of Complaint:]]="","",IF(Log_2026[[#This Row],[Closed Date:]]&lt;&gt;"","Closed",TODAY()-Log_2026[[#This Row],[Date of Complaint:]]))</f>
        <v>Closed</v>
      </c>
      <c r="H23" t="s">
        <v>137</v>
      </c>
      <c r="I23" s="12" t="s">
        <v>22</v>
      </c>
      <c r="J23" s="12" t="s">
        <v>64</v>
      </c>
      <c r="K23" s="8" t="s">
        <v>73</v>
      </c>
      <c r="M23" s="9">
        <v>46055</v>
      </c>
      <c r="N23" s="9" t="s">
        <v>138</v>
      </c>
      <c r="O23" s="9" t="str">
        <f>_xlfn.XLOOKUP(Log_2026[[#This Row],[Requestor name]], ID_Key[Requestor name], ID_Key[Requestor ID], "")</f>
        <v>RID0017</v>
      </c>
      <c r="P23" t="s">
        <v>139</v>
      </c>
      <c r="Q23" s="50">
        <v>46055</v>
      </c>
      <c r="S23" s="28">
        <f>IF(OR(Log_2026[[#This Row],[Closed Date:]]="",Log_2026[[#This Row],[Closed Date:]]&lt;Log_2026[[#This Row],[Date of Complaint:]]),"",Log_2026[[#This Row],[Closed Date:]]-Log_2026[[#This Row],[Date of Complaint:]])</f>
        <v>19</v>
      </c>
      <c r="T23" s="12">
        <v>46071</v>
      </c>
      <c r="U23" s="28">
        <v>45</v>
      </c>
      <c r="W23" s="48">
        <v>0</v>
      </c>
      <c r="X23" s="48">
        <v>12</v>
      </c>
      <c r="Y23" s="49">
        <f>Log_2026[[#This Row],[Hours Worked To Date]]</f>
        <v>0</v>
      </c>
    </row>
    <row r="24" spans="1:26" x14ac:dyDescent="0.3">
      <c r="A24" s="6">
        <v>21</v>
      </c>
      <c r="B24" s="8" t="str">
        <f xml:space="preserve"> Log_2026[[#This Row],[Count]] &amp; "-26"</f>
        <v>21-26</v>
      </c>
      <c r="C24" s="9">
        <v>46042</v>
      </c>
      <c r="D24" s="2" t="s">
        <v>14</v>
      </c>
      <c r="E24" s="7" t="s">
        <v>140</v>
      </c>
      <c r="F24" t="s">
        <v>133</v>
      </c>
      <c r="G24">
        <f ca="1">IF(Log_2026[[#This Row],[Date of Complaint:]]="","",IF(Log_2026[[#This Row],[Closed Date:]]&lt;&gt;"","Closed",TODAY()-Log_2026[[#This Row],[Date of Complaint:]]))</f>
        <v>124</v>
      </c>
      <c r="H24" t="s">
        <v>141</v>
      </c>
      <c r="I24" s="12" t="s">
        <v>59</v>
      </c>
      <c r="J24" s="12" t="s">
        <v>142</v>
      </c>
      <c r="K24" s="8" t="s">
        <v>11</v>
      </c>
      <c r="L24" s="1" t="s">
        <v>134</v>
      </c>
      <c r="M24" s="9">
        <v>46042</v>
      </c>
      <c r="N24" s="9" t="s">
        <v>143</v>
      </c>
      <c r="O24" s="9" t="str">
        <f>_xlfn.XLOOKUP(Log_2026[[#This Row],[Requestor name]], ID_Key[Requestor name], ID_Key[Requestor ID], "")</f>
        <v>RID0005</v>
      </c>
      <c r="P24" t="s">
        <v>144</v>
      </c>
      <c r="S24" s="28" t="str">
        <f>IF(OR(Log_2026[[#This Row],[Closed Date:]]="",Log_2026[[#This Row],[Closed Date:]]&lt;Log_2026[[#This Row],[Date of Complaint:]]),"",Log_2026[[#This Row],[Closed Date:]]-Log_2026[[#This Row],[Date of Complaint:]])</f>
        <v/>
      </c>
      <c r="U24" s="28">
        <v>7468</v>
      </c>
      <c r="V24" s="29">
        <v>4.9305555555555554E-2</v>
      </c>
      <c r="W24" s="48">
        <v>7218</v>
      </c>
      <c r="X24" s="48">
        <v>0</v>
      </c>
      <c r="Y24" s="49">
        <f>Log_2026[[#This Row],[Hours Worked To Date]]</f>
        <v>4.9305555555555554E-2</v>
      </c>
      <c r="Z24" t="s">
        <v>145</v>
      </c>
    </row>
    <row r="25" spans="1:26" ht="43.2" x14ac:dyDescent="0.3">
      <c r="A25" s="6">
        <v>22</v>
      </c>
      <c r="B25" s="8" t="str">
        <f xml:space="preserve"> Log_2026[[#This Row],[Count]] &amp; "-26"</f>
        <v>22-26</v>
      </c>
      <c r="C25" s="9">
        <v>46052</v>
      </c>
      <c r="D25" s="2" t="s">
        <v>14</v>
      </c>
      <c r="E25" s="7" t="s">
        <v>146</v>
      </c>
      <c r="F25" t="s">
        <v>125</v>
      </c>
      <c r="G25" t="str">
        <f ca="1">IF(Log_2026[[#This Row],[Date of Complaint:]]="","",IF(Log_2026[[#This Row],[Closed Date:]]&lt;&gt;"","Closed",TODAY()-Log_2026[[#This Row],[Date of Complaint:]]))</f>
        <v>Closed</v>
      </c>
      <c r="H25" t="s">
        <v>141</v>
      </c>
      <c r="I25" s="12" t="s">
        <v>22</v>
      </c>
      <c r="J25" s="12" t="s">
        <v>60</v>
      </c>
      <c r="K25" s="8" t="s">
        <v>11</v>
      </c>
      <c r="L25" s="1" t="s">
        <v>134</v>
      </c>
      <c r="M25" s="9">
        <v>46052</v>
      </c>
      <c r="N25" s="9" t="s">
        <v>143</v>
      </c>
      <c r="O25" s="9" t="str">
        <f>_xlfn.XLOOKUP(Log_2026[[#This Row],[Requestor name]], ID_Key[Requestor name], ID_Key[Requestor ID], "")</f>
        <v>RID0005</v>
      </c>
      <c r="P25" t="s">
        <v>144</v>
      </c>
      <c r="S25" s="28">
        <f>IF(OR(Log_2026[[#This Row],[Closed Date:]]="",Log_2026[[#This Row],[Closed Date:]]&lt;Log_2026[[#This Row],[Date of Complaint:]]),"",Log_2026[[#This Row],[Closed Date:]]-Log_2026[[#This Row],[Date of Complaint:]])</f>
        <v>34</v>
      </c>
      <c r="T25" s="12">
        <v>46086</v>
      </c>
      <c r="U25" s="28">
        <v>9</v>
      </c>
      <c r="W25" s="48">
        <v>0</v>
      </c>
      <c r="X25" s="48">
        <v>0</v>
      </c>
      <c r="Y25" s="49">
        <f>Log_2026[[#This Row],[Hours Worked To Date]]</f>
        <v>0</v>
      </c>
      <c r="Z25" t="s">
        <v>147</v>
      </c>
    </row>
    <row r="26" spans="1:26" ht="28.8" x14ac:dyDescent="0.3">
      <c r="A26" s="6">
        <v>23</v>
      </c>
      <c r="B26" s="8" t="str">
        <f xml:space="preserve"> Log_2026[[#This Row],[Count]] &amp; "-26"</f>
        <v>23-26</v>
      </c>
      <c r="C26" s="9">
        <v>46056</v>
      </c>
      <c r="D26" s="2" t="s">
        <v>148</v>
      </c>
      <c r="E26" s="7" t="s">
        <v>149</v>
      </c>
      <c r="G26" t="str">
        <f ca="1">IF(Log_2026[[#This Row],[Date of Complaint:]]="","",IF(Log_2026[[#This Row],[Closed Date:]]&lt;&gt;"","Closed",TODAY()-Log_2026[[#This Row],[Date of Complaint:]]))</f>
        <v>Closed</v>
      </c>
      <c r="H26" t="s">
        <v>28</v>
      </c>
      <c r="I26" s="12" t="s">
        <v>22</v>
      </c>
      <c r="J26" s="12" t="s">
        <v>64</v>
      </c>
      <c r="K26" s="8" t="s">
        <v>9</v>
      </c>
      <c r="M26" s="9">
        <v>46056</v>
      </c>
      <c r="N26" s="9" t="s">
        <v>150</v>
      </c>
      <c r="O26" s="9" t="str">
        <f>_xlfn.XLOOKUP(Log_2026[[#This Row],[Requestor name]], ID_Key[Requestor name], ID_Key[Requestor ID], "")</f>
        <v>RID0028</v>
      </c>
      <c r="P26" t="s">
        <v>151</v>
      </c>
      <c r="S26" s="28">
        <f>IF(OR(Log_2026[[#This Row],[Closed Date:]]="",Log_2026[[#This Row],[Closed Date:]]&lt;Log_2026[[#This Row],[Date of Complaint:]]),"",Log_2026[[#This Row],[Closed Date:]]-Log_2026[[#This Row],[Date of Complaint:]])</f>
        <v>27</v>
      </c>
      <c r="T26" s="12">
        <v>46083</v>
      </c>
      <c r="Z26" t="s">
        <v>152</v>
      </c>
    </row>
    <row r="27" spans="1:26" ht="28.8" x14ac:dyDescent="0.3">
      <c r="A27" s="6">
        <v>24</v>
      </c>
      <c r="B27" s="8" t="str">
        <f xml:space="preserve"> Log_2026[[#This Row],[Count]] &amp; "-26"</f>
        <v>24-26</v>
      </c>
      <c r="C27" s="9">
        <v>46057</v>
      </c>
      <c r="D27" s="2" t="s">
        <v>153</v>
      </c>
      <c r="E27" s="7" t="s">
        <v>154</v>
      </c>
      <c r="G27" t="str">
        <f ca="1">IF(Log_2026[[#This Row],[Date of Complaint:]]="","",IF(Log_2026[[#This Row],[Closed Date:]]&lt;&gt;"","Closed",TODAY()-Log_2026[[#This Row],[Date of Complaint:]]))</f>
        <v>Closed</v>
      </c>
      <c r="H27" t="s">
        <v>28</v>
      </c>
      <c r="I27" s="12" t="s">
        <v>22</v>
      </c>
      <c r="J27" s="12" t="s">
        <v>64</v>
      </c>
      <c r="K27" s="8" t="s">
        <v>9</v>
      </c>
      <c r="M27" s="9">
        <v>46057</v>
      </c>
      <c r="N27" s="9" t="s">
        <v>26</v>
      </c>
      <c r="O27" s="9" t="str">
        <f>_xlfn.XLOOKUP(Log_2026[[#This Row],[Requestor name]], ID_Key[Requestor name], ID_Key[Requestor ID], "")</f>
        <v>RID0008</v>
      </c>
      <c r="P27" t="s">
        <v>26</v>
      </c>
      <c r="S27" s="28">
        <f>IF(OR(Log_2026[[#This Row],[Closed Date:]]="",Log_2026[[#This Row],[Closed Date:]]&lt;Log_2026[[#This Row],[Date of Complaint:]]),"",Log_2026[[#This Row],[Closed Date:]]-Log_2026[[#This Row],[Date of Complaint:]])</f>
        <v>0</v>
      </c>
      <c r="T27" s="12">
        <v>46057</v>
      </c>
    </row>
    <row r="28" spans="1:26" ht="28.8" x14ac:dyDescent="0.3">
      <c r="A28" s="6">
        <v>25</v>
      </c>
      <c r="B28" s="8" t="str">
        <f xml:space="preserve"> Log_2026[[#This Row],[Count]] &amp; "-26"</f>
        <v>25-26</v>
      </c>
      <c r="C28" s="9">
        <v>46057</v>
      </c>
      <c r="D28" s="2" t="s">
        <v>155</v>
      </c>
      <c r="E28" s="7" t="s">
        <v>156</v>
      </c>
      <c r="G28" t="str">
        <f ca="1">IF(Log_2026[[#This Row],[Date of Complaint:]]="","",IF(Log_2026[[#This Row],[Closed Date:]]&lt;&gt;"","Closed",TODAY()-Log_2026[[#This Row],[Date of Complaint:]]))</f>
        <v>Closed</v>
      </c>
      <c r="H28" t="s">
        <v>28</v>
      </c>
      <c r="I28" s="12" t="s">
        <v>22</v>
      </c>
      <c r="J28" s="12" t="s">
        <v>64</v>
      </c>
      <c r="K28" s="8" t="s">
        <v>9</v>
      </c>
      <c r="M28" s="9">
        <v>46057</v>
      </c>
      <c r="N28" s="9" t="s">
        <v>157</v>
      </c>
      <c r="O28" s="9" t="str">
        <f>_xlfn.XLOOKUP(Log_2026[[#This Row],[Requestor name]], ID_Key[Requestor name], ID_Key[Requestor ID], "")</f>
        <v>RID0027</v>
      </c>
      <c r="P28" t="s">
        <v>158</v>
      </c>
      <c r="S28" s="28">
        <f>IF(OR(Log_2026[[#This Row],[Closed Date:]]="",Log_2026[[#This Row],[Closed Date:]]&lt;Log_2026[[#This Row],[Date of Complaint:]]),"",Log_2026[[#This Row],[Closed Date:]]-Log_2026[[#This Row],[Date of Complaint:]])</f>
        <v>6</v>
      </c>
      <c r="T28" s="12">
        <v>46063</v>
      </c>
      <c r="Z28" t="s">
        <v>159</v>
      </c>
    </row>
    <row r="29" spans="1:26" ht="28.8" x14ac:dyDescent="0.3">
      <c r="A29" s="6">
        <v>26</v>
      </c>
      <c r="B29" s="8" t="str">
        <f xml:space="preserve"> Log_2026[[#This Row],[Count]] &amp; "-26"</f>
        <v>26-26</v>
      </c>
      <c r="C29" s="9">
        <v>46057</v>
      </c>
      <c r="D29" s="2" t="s">
        <v>160</v>
      </c>
      <c r="E29" s="7" t="s">
        <v>161</v>
      </c>
      <c r="G29" t="str">
        <f ca="1">IF(Log_2026[[#This Row],[Date of Complaint:]]="","",IF(Log_2026[[#This Row],[Closed Date:]]&lt;&gt;"","Closed",TODAY()-Log_2026[[#This Row],[Date of Complaint:]]))</f>
        <v>Closed</v>
      </c>
      <c r="H29" t="s">
        <v>28</v>
      </c>
      <c r="I29" s="12" t="s">
        <v>22</v>
      </c>
      <c r="J29" s="12" t="s">
        <v>64</v>
      </c>
      <c r="K29" s="8" t="s">
        <v>10</v>
      </c>
      <c r="M29" s="9">
        <v>46057</v>
      </c>
      <c r="N29" s="9" t="s">
        <v>162</v>
      </c>
      <c r="O29" s="9" t="str">
        <f>_xlfn.XLOOKUP(Log_2026[[#This Row],[Requestor name]], ID_Key[Requestor name], ID_Key[Requestor ID], "")</f>
        <v>RID0016</v>
      </c>
      <c r="P29" t="s">
        <v>163</v>
      </c>
      <c r="S29" s="28">
        <f>IF(OR(Log_2026[[#This Row],[Closed Date:]]="",Log_2026[[#This Row],[Closed Date:]]&lt;Log_2026[[#This Row],[Date of Complaint:]]),"",Log_2026[[#This Row],[Closed Date:]]-Log_2026[[#This Row],[Date of Complaint:]])</f>
        <v>2</v>
      </c>
      <c r="T29" s="12">
        <v>46059</v>
      </c>
    </row>
    <row r="30" spans="1:26" x14ac:dyDescent="0.3">
      <c r="A30" s="6">
        <v>27</v>
      </c>
      <c r="B30" s="8" t="str">
        <f xml:space="preserve"> Log_2026[[#This Row],[Count]] &amp; "-26"</f>
        <v>27-26</v>
      </c>
      <c r="C30" s="9">
        <v>46058</v>
      </c>
      <c r="D30" s="2" t="s">
        <v>36</v>
      </c>
      <c r="E30" s="7" t="s">
        <v>164</v>
      </c>
      <c r="G30" t="str">
        <f ca="1">IF(Log_2026[[#This Row],[Date of Complaint:]]="","",IF(Log_2026[[#This Row],[Closed Date:]]&lt;&gt;"","Closed",TODAY()-Log_2026[[#This Row],[Date of Complaint:]]))</f>
        <v>Closed</v>
      </c>
      <c r="H30" t="s">
        <v>28</v>
      </c>
      <c r="I30" s="12" t="s">
        <v>22</v>
      </c>
      <c r="J30" s="12" t="s">
        <v>64</v>
      </c>
      <c r="K30" s="8" t="s">
        <v>9</v>
      </c>
      <c r="M30" s="9">
        <v>46058</v>
      </c>
      <c r="N30" s="9" t="s">
        <v>165</v>
      </c>
      <c r="O30" s="9" t="str">
        <f>_xlfn.XLOOKUP(Log_2026[[#This Row],[Requestor name]], ID_Key[Requestor name], ID_Key[Requestor ID], "")</f>
        <v>RID0011</v>
      </c>
      <c r="P30" t="s">
        <v>37</v>
      </c>
      <c r="R30" s="10">
        <v>46094</v>
      </c>
      <c r="S30" s="28">
        <f>IF(OR(Log_2026[[#This Row],[Closed Date:]]="",Log_2026[[#This Row],[Closed Date:]]&lt;Log_2026[[#This Row],[Date of Complaint:]]),"",Log_2026[[#This Row],[Closed Date:]]-Log_2026[[#This Row],[Date of Complaint:]])</f>
        <v>42</v>
      </c>
      <c r="T30" s="12">
        <v>46100</v>
      </c>
    </row>
    <row r="31" spans="1:26" x14ac:dyDescent="0.3">
      <c r="A31" s="6">
        <v>28</v>
      </c>
      <c r="B31" s="8" t="str">
        <f xml:space="preserve"> Log_2026[[#This Row],[Count]] &amp; "-26"</f>
        <v>28-26</v>
      </c>
      <c r="C31" s="9">
        <v>46062</v>
      </c>
      <c r="D31" s="2" t="s">
        <v>166</v>
      </c>
      <c r="E31" s="7" t="s">
        <v>167</v>
      </c>
      <c r="G31" t="str">
        <f ca="1">IF(Log_2026[[#This Row],[Date of Complaint:]]="","",IF(Log_2026[[#This Row],[Closed Date:]]&lt;&gt;"","Closed",TODAY()-Log_2026[[#This Row],[Date of Complaint:]]))</f>
        <v>Closed</v>
      </c>
      <c r="H31" t="s">
        <v>28</v>
      </c>
      <c r="I31" s="12" t="s">
        <v>22</v>
      </c>
      <c r="J31" s="12" t="s">
        <v>64</v>
      </c>
      <c r="K31" s="8" t="s">
        <v>10</v>
      </c>
      <c r="M31" s="9">
        <v>46062</v>
      </c>
      <c r="N31" s="9" t="s">
        <v>168</v>
      </c>
      <c r="O31" s="9" t="str">
        <f>_xlfn.XLOOKUP(Log_2026[[#This Row],[Requestor name]], ID_Key[Requestor name], ID_Key[Requestor ID], "")</f>
        <v>RID0013</v>
      </c>
      <c r="P31" t="s">
        <v>169</v>
      </c>
      <c r="S31" s="28" t="str">
        <f>IF(OR(Log_2026[[#This Row],[Closed Date:]]="",Log_2026[[#This Row],[Closed Date:]]&lt;Log_2026[[#This Row],[Date of Complaint:]]),"",Log_2026[[#This Row],[Closed Date:]]-Log_2026[[#This Row],[Date of Complaint:]])</f>
        <v/>
      </c>
      <c r="T31" s="12">
        <v>46061</v>
      </c>
    </row>
    <row r="32" spans="1:26" ht="28.8" x14ac:dyDescent="0.3">
      <c r="A32" s="6">
        <v>29</v>
      </c>
      <c r="B32" s="8" t="str">
        <f xml:space="preserve"> Log_2026[[#This Row],[Count]] &amp; "-26"</f>
        <v>29-26</v>
      </c>
      <c r="C32" s="9">
        <v>46063</v>
      </c>
      <c r="D32" s="2" t="s">
        <v>170</v>
      </c>
      <c r="E32" s="7" t="s">
        <v>171</v>
      </c>
      <c r="G32" t="str">
        <f ca="1">IF(Log_2026[[#This Row],[Date of Complaint:]]="","",IF(Log_2026[[#This Row],[Closed Date:]]&lt;&gt;"","Closed",TODAY()-Log_2026[[#This Row],[Date of Complaint:]]))</f>
        <v>Closed</v>
      </c>
      <c r="H32" t="s">
        <v>28</v>
      </c>
      <c r="I32" s="12" t="s">
        <v>22</v>
      </c>
      <c r="J32" s="12" t="s">
        <v>64</v>
      </c>
      <c r="K32" s="8" t="s">
        <v>10</v>
      </c>
      <c r="M32" s="9">
        <v>46063</v>
      </c>
      <c r="N32" s="9" t="s">
        <v>172</v>
      </c>
      <c r="O32" s="9" t="str">
        <f>_xlfn.XLOOKUP(Log_2026[[#This Row],[Requestor name]], ID_Key[Requestor name], ID_Key[Requestor ID], "")</f>
        <v>RID0001</v>
      </c>
      <c r="P32" t="s">
        <v>173</v>
      </c>
      <c r="S32" s="28">
        <f>IF(OR(Log_2026[[#This Row],[Closed Date:]]="",Log_2026[[#This Row],[Closed Date:]]&lt;Log_2026[[#This Row],[Date of Complaint:]]),"",Log_2026[[#This Row],[Closed Date:]]-Log_2026[[#This Row],[Date of Complaint:]])</f>
        <v>0</v>
      </c>
      <c r="T32" s="12">
        <v>46063</v>
      </c>
    </row>
    <row r="33" spans="1:26" x14ac:dyDescent="0.3">
      <c r="A33" s="6">
        <v>30</v>
      </c>
      <c r="B33" s="8" t="str">
        <f xml:space="preserve"> Log_2026[[#This Row],[Count]] &amp; "-26"</f>
        <v>30-26</v>
      </c>
      <c r="C33" s="9">
        <v>46064</v>
      </c>
      <c r="D33" s="2" t="s">
        <v>174</v>
      </c>
      <c r="E33" s="7" t="s">
        <v>175</v>
      </c>
      <c r="G33" t="str">
        <f ca="1">IF(Log_2026[[#This Row],[Date of Complaint:]]="","",IF(Log_2026[[#This Row],[Closed Date:]]&lt;&gt;"","Closed",TODAY()-Log_2026[[#This Row],[Date of Complaint:]]))</f>
        <v>Closed</v>
      </c>
      <c r="H33" t="s">
        <v>28</v>
      </c>
      <c r="I33" s="12" t="s">
        <v>22</v>
      </c>
      <c r="J33" s="12" t="s">
        <v>64</v>
      </c>
      <c r="K33" s="8" t="s">
        <v>10</v>
      </c>
      <c r="M33" s="9">
        <v>46064</v>
      </c>
      <c r="N33" s="9" t="s">
        <v>176</v>
      </c>
      <c r="O33" s="9" t="str">
        <f>_xlfn.XLOOKUP(Log_2026[[#This Row],[Requestor name]], ID_Key[Requestor name], ID_Key[Requestor ID], "")</f>
        <v>RID0026</v>
      </c>
      <c r="P33" t="s">
        <v>177</v>
      </c>
      <c r="S33" s="28">
        <f>IF(OR(Log_2026[[#This Row],[Closed Date:]]="",Log_2026[[#This Row],[Closed Date:]]&lt;Log_2026[[#This Row],[Date of Complaint:]]),"",Log_2026[[#This Row],[Closed Date:]]-Log_2026[[#This Row],[Date of Complaint:]])</f>
        <v>0</v>
      </c>
      <c r="T33" s="12">
        <v>46064</v>
      </c>
    </row>
    <row r="34" spans="1:26" x14ac:dyDescent="0.3">
      <c r="A34" s="6">
        <v>31</v>
      </c>
      <c r="B34" s="8" t="str">
        <f xml:space="preserve"> Log_2026[[#This Row],[Count]] &amp; "-26"</f>
        <v>31-26</v>
      </c>
      <c r="C34" s="9">
        <v>46065</v>
      </c>
      <c r="D34" s="2" t="s">
        <v>95</v>
      </c>
      <c r="E34" s="7" t="s">
        <v>178</v>
      </c>
      <c r="G34" t="str">
        <f ca="1">IF(Log_2026[[#This Row],[Date of Complaint:]]="","",IF(Log_2026[[#This Row],[Closed Date:]]&lt;&gt;"","Closed",TODAY()-Log_2026[[#This Row],[Date of Complaint:]]))</f>
        <v>Closed</v>
      </c>
      <c r="H34" t="s">
        <v>28</v>
      </c>
      <c r="I34" s="12" t="s">
        <v>22</v>
      </c>
      <c r="J34" s="12" t="s">
        <v>64</v>
      </c>
      <c r="K34" s="8" t="s">
        <v>11</v>
      </c>
      <c r="M34" s="9">
        <v>46065</v>
      </c>
      <c r="N34" s="9" t="s">
        <v>97</v>
      </c>
      <c r="O34" s="9" t="str">
        <f>_xlfn.XLOOKUP(Log_2026[[#This Row],[Requestor name]], ID_Key[Requestor name], ID_Key[Requestor ID], "")</f>
        <v>RID0014</v>
      </c>
      <c r="P34" t="s">
        <v>30</v>
      </c>
      <c r="S34" s="28">
        <f>IF(OR(Log_2026[[#This Row],[Closed Date:]]="",Log_2026[[#This Row],[Closed Date:]]&lt;Log_2026[[#This Row],[Date of Complaint:]]),"",Log_2026[[#This Row],[Closed Date:]]-Log_2026[[#This Row],[Date of Complaint:]])</f>
        <v>2</v>
      </c>
      <c r="T34" s="12">
        <v>46067</v>
      </c>
    </row>
    <row r="35" spans="1:26" x14ac:dyDescent="0.3">
      <c r="A35" s="6">
        <v>32</v>
      </c>
      <c r="B35" s="8" t="str">
        <f xml:space="preserve"> Log_2026[[#This Row],[Count]] &amp; "-26"</f>
        <v>32-26</v>
      </c>
      <c r="C35" s="9">
        <v>46065</v>
      </c>
      <c r="D35" s="2" t="s">
        <v>14</v>
      </c>
      <c r="E35" s="7" t="s">
        <v>179</v>
      </c>
      <c r="F35" t="s">
        <v>125</v>
      </c>
      <c r="G35" t="str">
        <f ca="1">IF(Log_2026[[#This Row],[Date of Complaint:]]="","",IF(Log_2026[[#This Row],[Closed Date:]]&lt;&gt;"","Closed",TODAY()-Log_2026[[#This Row],[Date of Complaint:]]))</f>
        <v>Closed</v>
      </c>
      <c r="H35" t="s">
        <v>28</v>
      </c>
      <c r="I35" s="12" t="s">
        <v>22</v>
      </c>
      <c r="J35" s="12" t="s">
        <v>64</v>
      </c>
      <c r="K35" s="8" t="s">
        <v>9</v>
      </c>
      <c r="L35" s="1" t="s">
        <v>11</v>
      </c>
      <c r="M35" s="9">
        <v>46066</v>
      </c>
      <c r="N35" s="9" t="s">
        <v>29</v>
      </c>
      <c r="O35" s="9" t="str">
        <f>_xlfn.XLOOKUP(Log_2026[[#This Row],[Requestor name]], ID_Key[Requestor name], ID_Key[Requestor ID], "")</f>
        <v>RID0010</v>
      </c>
      <c r="P35" t="s">
        <v>180</v>
      </c>
      <c r="Q35" s="50">
        <v>46066</v>
      </c>
      <c r="S35" s="28">
        <f>IF(OR(Log_2026[[#This Row],[Closed Date:]]="",Log_2026[[#This Row],[Closed Date:]]&lt;Log_2026[[#This Row],[Date of Complaint:]]),"",Log_2026[[#This Row],[Closed Date:]]-Log_2026[[#This Row],[Date of Complaint:]])</f>
        <v>7</v>
      </c>
      <c r="T35" s="12">
        <v>46072</v>
      </c>
      <c r="U35" s="28">
        <v>364</v>
      </c>
      <c r="W35" s="48">
        <v>0</v>
      </c>
      <c r="X35" s="48">
        <v>0</v>
      </c>
      <c r="Y35" s="49">
        <f>Log_2026[[#This Row],[Hours Worked To Date]]</f>
        <v>0</v>
      </c>
    </row>
    <row r="36" spans="1:26" ht="28.8" x14ac:dyDescent="0.3">
      <c r="A36" s="6">
        <v>33</v>
      </c>
      <c r="B36" s="8" t="str">
        <f xml:space="preserve"> Log_2026[[#This Row],[Count]] &amp; "-26"</f>
        <v>33-26</v>
      </c>
      <c r="C36" s="9">
        <v>46070</v>
      </c>
      <c r="D36" s="2" t="s">
        <v>181</v>
      </c>
      <c r="E36" s="7" t="s">
        <v>182</v>
      </c>
      <c r="G36">
        <f ca="1">IF(Log_2026[[#This Row],[Date of Complaint:]]="","",IF(Log_2026[[#This Row],[Closed Date:]]&lt;&gt;"","Closed",TODAY()-Log_2026[[#This Row],[Date of Complaint:]]))</f>
        <v>96</v>
      </c>
      <c r="H36" t="s">
        <v>28</v>
      </c>
      <c r="I36" s="12" t="s">
        <v>59</v>
      </c>
      <c r="K36" s="8" t="s">
        <v>10</v>
      </c>
      <c r="M36" s="9">
        <v>46070</v>
      </c>
      <c r="N36" s="9" t="s">
        <v>183</v>
      </c>
      <c r="O36" s="9" t="str">
        <f>_xlfn.XLOOKUP(Log_2026[[#This Row],[Requestor name]], ID_Key[Requestor name], ID_Key[Requestor ID], "")</f>
        <v>RID0034</v>
      </c>
      <c r="P36" t="s">
        <v>184</v>
      </c>
      <c r="S36" s="28" t="str">
        <f>IF(OR(Log_2026[[#This Row],[Closed Date:]]="",Log_2026[[#This Row],[Closed Date:]]&lt;Log_2026[[#This Row],[Date of Complaint:]]),"",Log_2026[[#This Row],[Closed Date:]]-Log_2026[[#This Row],[Date of Complaint:]])</f>
        <v/>
      </c>
    </row>
    <row r="37" spans="1:26" x14ac:dyDescent="0.3">
      <c r="A37" s="6">
        <v>34</v>
      </c>
      <c r="B37" s="8" t="str">
        <f xml:space="preserve"> Log_2026[[#This Row],[Count]] &amp; "-26"</f>
        <v>34-26</v>
      </c>
      <c r="C37" s="9">
        <v>46070</v>
      </c>
      <c r="D37" s="2" t="s">
        <v>14</v>
      </c>
      <c r="E37" s="7" t="s">
        <v>185</v>
      </c>
      <c r="F37" t="s">
        <v>125</v>
      </c>
      <c r="G37" t="str">
        <f ca="1">IF(Log_2026[[#This Row],[Date of Complaint:]]="","",IF(Log_2026[[#This Row],[Closed Date:]]&lt;&gt;"","Closed",TODAY()-Log_2026[[#This Row],[Date of Complaint:]]))</f>
        <v>Closed</v>
      </c>
      <c r="H37" t="s">
        <v>28</v>
      </c>
      <c r="I37" s="12" t="s">
        <v>22</v>
      </c>
      <c r="J37" s="12" t="s">
        <v>64</v>
      </c>
      <c r="K37" s="8" t="s">
        <v>11</v>
      </c>
      <c r="L37" s="1" t="s">
        <v>186</v>
      </c>
      <c r="M37" s="9">
        <v>46071</v>
      </c>
      <c r="N37" s="9" t="s">
        <v>187</v>
      </c>
      <c r="O37" s="9" t="str">
        <f>_xlfn.XLOOKUP(Log_2026[[#This Row],[Requestor name]], ID_Key[Requestor name], ID_Key[Requestor ID], "")</f>
        <v>RID0006</v>
      </c>
      <c r="P37" t="s">
        <v>188</v>
      </c>
      <c r="Q37" s="50">
        <v>46076</v>
      </c>
      <c r="S37" s="28">
        <f>IF(OR(Log_2026[[#This Row],[Closed Date:]]="",Log_2026[[#This Row],[Closed Date:]]&lt;Log_2026[[#This Row],[Date of Complaint:]]),"",Log_2026[[#This Row],[Closed Date:]]-Log_2026[[#This Row],[Date of Complaint:]])</f>
        <v>6</v>
      </c>
      <c r="T37" s="12">
        <v>46076</v>
      </c>
      <c r="U37" s="28">
        <v>0</v>
      </c>
      <c r="W37" s="48">
        <v>0</v>
      </c>
      <c r="X37" s="48">
        <v>0</v>
      </c>
      <c r="Y37" s="49">
        <f>Log_2026[[#This Row],[Hours Worked To Date]]</f>
        <v>0</v>
      </c>
    </row>
    <row r="38" spans="1:26" x14ac:dyDescent="0.3">
      <c r="A38" s="6">
        <v>35</v>
      </c>
      <c r="B38" s="8" t="str">
        <f xml:space="preserve"> Log_2026[[#This Row],[Count]] &amp; "-26"</f>
        <v>35-26</v>
      </c>
      <c r="C38" s="9">
        <v>46073</v>
      </c>
      <c r="D38" s="2" t="s">
        <v>14</v>
      </c>
      <c r="E38" s="7" t="s">
        <v>189</v>
      </c>
      <c r="F38" t="s">
        <v>105</v>
      </c>
      <c r="G38" t="str">
        <f ca="1">IF(Log_2026[[#This Row],[Date of Complaint:]]="","",IF(Log_2026[[#This Row],[Closed Date:]]&lt;&gt;"","Closed",TODAY()-Log_2026[[#This Row],[Date of Complaint:]]))</f>
        <v>Closed</v>
      </c>
      <c r="H38" t="s">
        <v>28</v>
      </c>
      <c r="I38" s="12" t="s">
        <v>22</v>
      </c>
      <c r="J38" s="12" t="s">
        <v>64</v>
      </c>
      <c r="K38" s="8" t="s">
        <v>9</v>
      </c>
      <c r="M38" s="9">
        <v>46073</v>
      </c>
      <c r="N38" s="9" t="s">
        <v>190</v>
      </c>
      <c r="O38" s="9" t="str">
        <f>_xlfn.XLOOKUP(Log_2026[[#This Row],[Requestor name]], ID_Key[Requestor name], ID_Key[Requestor ID], "")</f>
        <v>RID0002</v>
      </c>
      <c r="P38" t="s">
        <v>191</v>
      </c>
      <c r="Q38" s="50">
        <v>46073</v>
      </c>
      <c r="S38" s="28">
        <f>IF(OR(Log_2026[[#This Row],[Closed Date:]]="",Log_2026[[#This Row],[Closed Date:]]&lt;Log_2026[[#This Row],[Date of Complaint:]]),"",Log_2026[[#This Row],[Closed Date:]]-Log_2026[[#This Row],[Date of Complaint:]])</f>
        <v>13</v>
      </c>
      <c r="T38" s="12">
        <v>46086</v>
      </c>
      <c r="U38" s="28">
        <v>0</v>
      </c>
      <c r="W38" s="48">
        <v>0</v>
      </c>
      <c r="X38" s="48">
        <v>0</v>
      </c>
      <c r="Y38" s="49">
        <f>Log_2026[[#This Row],[Hours Worked To Date]]</f>
        <v>0</v>
      </c>
    </row>
    <row r="39" spans="1:26" x14ac:dyDescent="0.3">
      <c r="A39" s="6">
        <v>36</v>
      </c>
      <c r="B39" s="8" t="str">
        <f xml:space="preserve"> Log_2026[[#This Row],[Count]] &amp; "-26"</f>
        <v>36-26</v>
      </c>
      <c r="C39" s="9">
        <v>46073</v>
      </c>
      <c r="D39" s="2" t="s">
        <v>192</v>
      </c>
      <c r="E39" s="7" t="s">
        <v>193</v>
      </c>
      <c r="G39" t="str">
        <f ca="1">IF(Log_2026[[#This Row],[Date of Complaint:]]="","",IF(Log_2026[[#This Row],[Closed Date:]]&lt;&gt;"","Closed",TODAY()-Log_2026[[#This Row],[Date of Complaint:]]))</f>
        <v>Closed</v>
      </c>
      <c r="H39" t="s">
        <v>28</v>
      </c>
      <c r="I39" s="12" t="s">
        <v>22</v>
      </c>
      <c r="J39" s="12" t="s">
        <v>64</v>
      </c>
      <c r="K39" s="8" t="s">
        <v>9</v>
      </c>
      <c r="M39" s="9">
        <v>46073</v>
      </c>
      <c r="N39" s="9" t="s">
        <v>194</v>
      </c>
      <c r="O39" s="9" t="str">
        <f>_xlfn.XLOOKUP(Log_2026[[#This Row],[Requestor name]], ID_Key[Requestor name], ID_Key[Requestor ID], "")</f>
        <v>RID0031</v>
      </c>
      <c r="P39" t="s">
        <v>195</v>
      </c>
      <c r="S39" s="28">
        <f>IF(OR(Log_2026[[#This Row],[Closed Date:]]="",Log_2026[[#This Row],[Closed Date:]]&lt;Log_2026[[#This Row],[Date of Complaint:]]),"",Log_2026[[#This Row],[Closed Date:]]-Log_2026[[#This Row],[Date of Complaint:]])</f>
        <v>0</v>
      </c>
      <c r="T39" s="12">
        <v>46073</v>
      </c>
      <c r="Z39" t="s">
        <v>38</v>
      </c>
    </row>
    <row r="40" spans="1:26" ht="28.8" x14ac:dyDescent="0.3">
      <c r="A40" s="6">
        <v>37</v>
      </c>
      <c r="B40" s="8" t="str">
        <f xml:space="preserve"> Log_2026[[#This Row],[Count]] &amp; "-26"</f>
        <v>37-26</v>
      </c>
      <c r="C40" s="9">
        <v>46073</v>
      </c>
      <c r="D40" s="2" t="s">
        <v>196</v>
      </c>
      <c r="E40" s="7" t="s">
        <v>197</v>
      </c>
      <c r="G40" t="str">
        <f ca="1">IF(Log_2026[[#This Row],[Date of Complaint:]]="","",IF(Log_2026[[#This Row],[Closed Date:]]&lt;&gt;"","Closed",TODAY()-Log_2026[[#This Row],[Date of Complaint:]]))</f>
        <v>Closed</v>
      </c>
      <c r="H40" t="s">
        <v>28</v>
      </c>
      <c r="I40" s="12" t="s">
        <v>22</v>
      </c>
      <c r="J40" s="12" t="s">
        <v>64</v>
      </c>
      <c r="K40" s="8" t="s">
        <v>9</v>
      </c>
      <c r="M40" s="9">
        <v>46073</v>
      </c>
      <c r="N40" s="9" t="s">
        <v>194</v>
      </c>
      <c r="O40" s="9" t="str">
        <f>_xlfn.XLOOKUP(Log_2026[[#This Row],[Requestor name]], ID_Key[Requestor name], ID_Key[Requestor ID], "")</f>
        <v>RID0031</v>
      </c>
      <c r="P40" t="s">
        <v>195</v>
      </c>
      <c r="S40" s="28">
        <f>IF(OR(Log_2026[[#This Row],[Closed Date:]]="",Log_2026[[#This Row],[Closed Date:]]&lt;Log_2026[[#This Row],[Date of Complaint:]]),"",Log_2026[[#This Row],[Closed Date:]]-Log_2026[[#This Row],[Date of Complaint:]])</f>
        <v>0</v>
      </c>
      <c r="T40" s="12">
        <v>46073</v>
      </c>
      <c r="Z40" t="s">
        <v>35</v>
      </c>
    </row>
    <row r="41" spans="1:26" ht="43.2" x14ac:dyDescent="0.3">
      <c r="A41" s="6">
        <v>38</v>
      </c>
      <c r="B41" s="8" t="str">
        <f xml:space="preserve"> Log_2026[[#This Row],[Count]] &amp; "-26"</f>
        <v>38-26</v>
      </c>
      <c r="C41" s="9">
        <v>46073</v>
      </c>
      <c r="D41" s="2" t="s">
        <v>14</v>
      </c>
      <c r="E41" s="7" t="s">
        <v>198</v>
      </c>
      <c r="F41" t="s">
        <v>125</v>
      </c>
      <c r="G41" t="str">
        <f ca="1">IF(Log_2026[[#This Row],[Date of Complaint:]]="","",IF(Log_2026[[#This Row],[Closed Date:]]&lt;&gt;"","Closed",TODAY()-Log_2026[[#This Row],[Date of Complaint:]]))</f>
        <v>Closed</v>
      </c>
      <c r="H41" t="s">
        <v>141</v>
      </c>
      <c r="I41" s="12" t="s">
        <v>22</v>
      </c>
      <c r="J41" s="12" t="s">
        <v>64</v>
      </c>
      <c r="K41" s="8" t="s">
        <v>11</v>
      </c>
      <c r="L41" s="1" t="s">
        <v>134</v>
      </c>
      <c r="M41" s="9">
        <v>46073</v>
      </c>
      <c r="N41" s="9" t="s">
        <v>143</v>
      </c>
      <c r="O41" s="9" t="str">
        <f>_xlfn.XLOOKUP(Log_2026[[#This Row],[Requestor name]], ID_Key[Requestor name], ID_Key[Requestor ID], "")</f>
        <v>RID0005</v>
      </c>
      <c r="P41" t="s">
        <v>144</v>
      </c>
      <c r="Q41" s="50">
        <v>46076</v>
      </c>
      <c r="S41" s="28">
        <f>IF(OR(Log_2026[[#This Row],[Closed Date:]]="",Log_2026[[#This Row],[Closed Date:]]&lt;Log_2026[[#This Row],[Date of Complaint:]]),"",Log_2026[[#This Row],[Closed Date:]]-Log_2026[[#This Row],[Date of Complaint:]])</f>
        <v>13</v>
      </c>
      <c r="T41" s="12">
        <v>46086</v>
      </c>
      <c r="U41" s="28">
        <v>9</v>
      </c>
      <c r="W41" s="48">
        <v>0</v>
      </c>
      <c r="X41" s="48">
        <v>0</v>
      </c>
      <c r="Y41" s="49">
        <f>Log_2026[[#This Row],[Hours Worked To Date]]</f>
        <v>0</v>
      </c>
    </row>
    <row r="42" spans="1:26" ht="28.8" x14ac:dyDescent="0.3">
      <c r="A42" s="6">
        <v>39</v>
      </c>
      <c r="B42" s="8" t="str">
        <f xml:space="preserve"> Log_2026[[#This Row],[Count]] &amp; "-26"</f>
        <v>39-26</v>
      </c>
      <c r="C42" s="9">
        <v>46076</v>
      </c>
      <c r="D42" s="2" t="s">
        <v>199</v>
      </c>
      <c r="E42" s="7" t="s">
        <v>200</v>
      </c>
      <c r="G42" t="str">
        <f ca="1">IF(Log_2026[[#This Row],[Date of Complaint:]]="","",IF(Log_2026[[#This Row],[Closed Date:]]&lt;&gt;"","Closed",TODAY()-Log_2026[[#This Row],[Date of Complaint:]]))</f>
        <v>Closed</v>
      </c>
      <c r="H42" t="s">
        <v>137</v>
      </c>
      <c r="I42" s="12" t="s">
        <v>22</v>
      </c>
      <c r="J42" s="12" t="s">
        <v>64</v>
      </c>
      <c r="K42" s="8" t="s">
        <v>10</v>
      </c>
      <c r="M42" s="9">
        <v>46076</v>
      </c>
      <c r="N42" s="9" t="s">
        <v>201</v>
      </c>
      <c r="O42" s="9" t="str">
        <f>_xlfn.XLOOKUP(Log_2026[[#This Row],[Requestor name]], ID_Key[Requestor name], ID_Key[Requestor ID], "")</f>
        <v>RID0009</v>
      </c>
      <c r="P42" t="s">
        <v>202</v>
      </c>
      <c r="S42" s="28">
        <f>IF(OR(Log_2026[[#This Row],[Closed Date:]]="",Log_2026[[#This Row],[Closed Date:]]&lt;Log_2026[[#This Row],[Date of Complaint:]]),"",Log_2026[[#This Row],[Closed Date:]]-Log_2026[[#This Row],[Date of Complaint:]])</f>
        <v>7</v>
      </c>
      <c r="T42" s="12">
        <v>46083</v>
      </c>
    </row>
    <row r="43" spans="1:26" ht="28.8" x14ac:dyDescent="0.3">
      <c r="A43" s="6">
        <v>40</v>
      </c>
      <c r="B43" s="8" t="str">
        <f xml:space="preserve"> Log_2026[[#This Row],[Count]] &amp; "-26"</f>
        <v>40-26</v>
      </c>
      <c r="C43" s="9">
        <v>46076</v>
      </c>
      <c r="D43" s="2" t="s">
        <v>199</v>
      </c>
      <c r="E43" s="7" t="s">
        <v>203</v>
      </c>
      <c r="G43" t="str">
        <f ca="1">IF(Log_2026[[#This Row],[Date of Complaint:]]="","",IF(Log_2026[[#This Row],[Closed Date:]]&lt;&gt;"","Closed",TODAY()-Log_2026[[#This Row],[Date of Complaint:]]))</f>
        <v>Closed</v>
      </c>
      <c r="H43" t="s">
        <v>137</v>
      </c>
      <c r="I43" s="12" t="s">
        <v>22</v>
      </c>
      <c r="J43" s="12" t="s">
        <v>116</v>
      </c>
      <c r="K43" s="8" t="s">
        <v>117</v>
      </c>
      <c r="L43" s="1" t="s">
        <v>9</v>
      </c>
      <c r="M43" s="9">
        <v>46076</v>
      </c>
      <c r="N43" s="9" t="s">
        <v>201</v>
      </c>
      <c r="O43" s="9" t="str">
        <f>_xlfn.XLOOKUP(Log_2026[[#This Row],[Requestor name]], ID_Key[Requestor name], ID_Key[Requestor ID], "")</f>
        <v>RID0009</v>
      </c>
      <c r="P43" t="s">
        <v>202</v>
      </c>
      <c r="S43" s="28">
        <f>IF(OR(Log_2026[[#This Row],[Closed Date:]]="",Log_2026[[#This Row],[Closed Date:]]&lt;Log_2026[[#This Row],[Date of Complaint:]]),"",Log_2026[[#This Row],[Closed Date:]]-Log_2026[[#This Row],[Date of Complaint:]])</f>
        <v>51</v>
      </c>
      <c r="T43" s="12">
        <v>46127</v>
      </c>
    </row>
    <row r="44" spans="1:26" ht="28.8" x14ac:dyDescent="0.3">
      <c r="A44" s="6">
        <v>41</v>
      </c>
      <c r="B44" s="8" t="str">
        <f xml:space="preserve"> Log_2026[[#This Row],[Count]] &amp; "-26"</f>
        <v>41-26</v>
      </c>
      <c r="C44" s="9">
        <v>46077</v>
      </c>
      <c r="D44" s="2" t="s">
        <v>204</v>
      </c>
      <c r="E44" s="7" t="s">
        <v>205</v>
      </c>
      <c r="G44">
        <f ca="1">IF(Log_2026[[#This Row],[Date of Complaint:]]="","",IF(Log_2026[[#This Row],[Closed Date:]]&lt;&gt;"","Closed",TODAY()-Log_2026[[#This Row],[Date of Complaint:]]))</f>
        <v>89</v>
      </c>
      <c r="H44" t="s">
        <v>137</v>
      </c>
      <c r="I44" s="12" t="s">
        <v>59</v>
      </c>
      <c r="K44" s="8" t="s">
        <v>10</v>
      </c>
      <c r="M44" s="9">
        <v>46077</v>
      </c>
      <c r="N44" s="9" t="s">
        <v>206</v>
      </c>
      <c r="O44" s="9" t="str">
        <f>_xlfn.XLOOKUP(Log_2026[[#This Row],[Requestor name]], ID_Key[Requestor name], ID_Key[Requestor ID], "")</f>
        <v>RID0033</v>
      </c>
      <c r="P44" t="s">
        <v>207</v>
      </c>
      <c r="S44" s="28" t="str">
        <f>IF(OR(Log_2026[[#This Row],[Closed Date:]]="",Log_2026[[#This Row],[Closed Date:]]&lt;Log_2026[[#This Row],[Date of Complaint:]]),"",Log_2026[[#This Row],[Closed Date:]]-Log_2026[[#This Row],[Date of Complaint:]])</f>
        <v/>
      </c>
    </row>
    <row r="45" spans="1:26" ht="57.6" x14ac:dyDescent="0.3">
      <c r="A45" s="6">
        <v>42</v>
      </c>
      <c r="B45" s="8" t="str">
        <f xml:space="preserve"> Log_2026[[#This Row],[Count]] &amp; "-26"</f>
        <v>42-26</v>
      </c>
      <c r="C45" s="9">
        <v>45952</v>
      </c>
      <c r="D45" s="2" t="s">
        <v>14</v>
      </c>
      <c r="E45" s="7" t="s">
        <v>208</v>
      </c>
      <c r="F45" t="s">
        <v>209</v>
      </c>
      <c r="G45" t="str">
        <f ca="1">IF(Log_2026[[#This Row],[Date of Complaint:]]="","",IF(Log_2026[[#This Row],[Closed Date:]]&lt;&gt;"","Closed",TODAY()-Log_2026[[#This Row],[Date of Complaint:]]))</f>
        <v>Closed</v>
      </c>
      <c r="H45" t="s">
        <v>210</v>
      </c>
      <c r="I45" s="12" t="s">
        <v>22</v>
      </c>
      <c r="J45" s="12" t="s">
        <v>64</v>
      </c>
      <c r="K45" s="8" t="s">
        <v>11</v>
      </c>
      <c r="L45" s="1" t="s">
        <v>134</v>
      </c>
      <c r="M45" s="9">
        <v>45954</v>
      </c>
      <c r="N45" s="9" t="s">
        <v>211</v>
      </c>
      <c r="O45" s="9" t="str">
        <f>_xlfn.XLOOKUP(Log_2026[[#This Row],[Requestor name]], ID_Key[Requestor name], ID_Key[Requestor ID], "")</f>
        <v>RID0037</v>
      </c>
      <c r="P45" t="s">
        <v>212</v>
      </c>
      <c r="Q45" s="50">
        <v>45954</v>
      </c>
      <c r="S45" s="28">
        <f>IF(OR(Log_2026[[#This Row],[Closed Date:]]="",Log_2026[[#This Row],[Closed Date:]]&lt;Log_2026[[#This Row],[Date of Complaint:]]),"",Log_2026[[#This Row],[Closed Date:]]-Log_2026[[#This Row],[Date of Complaint:]])</f>
        <v>128</v>
      </c>
      <c r="T45" s="12">
        <v>46080</v>
      </c>
      <c r="U45" s="28">
        <v>288</v>
      </c>
      <c r="W45" s="48">
        <v>0</v>
      </c>
      <c r="X45" s="48">
        <v>10</v>
      </c>
      <c r="Y45" s="49">
        <f>Log_2026[[#This Row],[Hours Worked To Date]]</f>
        <v>0</v>
      </c>
    </row>
    <row r="46" spans="1:26" x14ac:dyDescent="0.3">
      <c r="A46" s="6">
        <v>43</v>
      </c>
      <c r="B46" s="8" t="str">
        <f xml:space="preserve"> Log_2026[[#This Row],[Count]] &amp; "-26"</f>
        <v>43-26</v>
      </c>
      <c r="C46" s="9">
        <v>46077</v>
      </c>
      <c r="D46" s="2" t="s">
        <v>213</v>
      </c>
      <c r="E46" s="7" t="s">
        <v>214</v>
      </c>
      <c r="G46" t="str">
        <f ca="1">IF(Log_2026[[#This Row],[Date of Complaint:]]="","",IF(Log_2026[[#This Row],[Closed Date:]]&lt;&gt;"","Closed",TODAY()-Log_2026[[#This Row],[Date of Complaint:]]))</f>
        <v>Closed</v>
      </c>
      <c r="H46" t="s">
        <v>137</v>
      </c>
      <c r="I46" s="12" t="s">
        <v>22</v>
      </c>
      <c r="J46" s="12" t="s">
        <v>64</v>
      </c>
      <c r="K46" s="8" t="s">
        <v>11</v>
      </c>
      <c r="M46" s="9">
        <v>46077</v>
      </c>
      <c r="N46" s="9" t="s">
        <v>97</v>
      </c>
      <c r="O46" s="9" t="str">
        <f>_xlfn.XLOOKUP(Log_2026[[#This Row],[Requestor name]], ID_Key[Requestor name], ID_Key[Requestor ID], "")</f>
        <v>RID0014</v>
      </c>
      <c r="P46" t="s">
        <v>30</v>
      </c>
      <c r="R46" s="10">
        <v>46077</v>
      </c>
      <c r="S46" s="28">
        <f>IF(OR(Log_2026[[#This Row],[Closed Date:]]="",Log_2026[[#This Row],[Closed Date:]]&lt;Log_2026[[#This Row],[Date of Complaint:]]),"",Log_2026[[#This Row],[Closed Date:]]-Log_2026[[#This Row],[Date of Complaint:]])</f>
        <v>0</v>
      </c>
      <c r="T46" s="12">
        <v>46077</v>
      </c>
    </row>
    <row r="47" spans="1:26" x14ac:dyDescent="0.3">
      <c r="A47" s="6">
        <v>44</v>
      </c>
      <c r="B47" s="8" t="str">
        <f xml:space="preserve"> Log_2026[[#This Row],[Count]] &amp; "-26"</f>
        <v>44-26</v>
      </c>
      <c r="C47" s="9">
        <v>45953</v>
      </c>
      <c r="D47" s="2" t="s">
        <v>14</v>
      </c>
      <c r="E47" s="7" t="s">
        <v>215</v>
      </c>
      <c r="F47" t="s">
        <v>209</v>
      </c>
      <c r="G47">
        <f ca="1">IF(Log_2026[[#This Row],[Date of Complaint:]]="","",IF(Log_2026[[#This Row],[Closed Date:]]&lt;&gt;"","Closed",TODAY()-Log_2026[[#This Row],[Date of Complaint:]]))</f>
        <v>213</v>
      </c>
      <c r="H47" t="s">
        <v>141</v>
      </c>
      <c r="I47" s="12" t="s">
        <v>59</v>
      </c>
      <c r="J47" s="12" t="s">
        <v>216</v>
      </c>
      <c r="K47" s="8" t="s">
        <v>11</v>
      </c>
      <c r="L47" s="1" t="s">
        <v>21</v>
      </c>
      <c r="M47" s="9">
        <v>45953</v>
      </c>
      <c r="N47" s="9" t="s">
        <v>29</v>
      </c>
      <c r="O47" s="9" t="str">
        <f>_xlfn.XLOOKUP(Log_2026[[#This Row],[Requestor name]], ID_Key[Requestor name], ID_Key[Requestor ID], "")</f>
        <v>RID0010</v>
      </c>
      <c r="P47" t="s">
        <v>29</v>
      </c>
      <c r="S47" s="28" t="str">
        <f>IF(OR(Log_2026[[#This Row],[Closed Date:]]="",Log_2026[[#This Row],[Closed Date:]]&lt;Log_2026[[#This Row],[Date of Complaint:]]),"",Log_2026[[#This Row],[Closed Date:]]-Log_2026[[#This Row],[Date of Complaint:]])</f>
        <v/>
      </c>
      <c r="W47" s="48">
        <v>0</v>
      </c>
      <c r="X47" s="48">
        <v>0</v>
      </c>
      <c r="Y47" s="49">
        <f>Log_2026[[#This Row],[Hours Worked To Date]]</f>
        <v>0</v>
      </c>
      <c r="Z47" t="s">
        <v>217</v>
      </c>
    </row>
    <row r="48" spans="1:26" x14ac:dyDescent="0.3">
      <c r="A48" s="6">
        <v>45</v>
      </c>
      <c r="B48" s="8" t="str">
        <f xml:space="preserve"> Log_2026[[#This Row],[Count]] &amp; "-26"</f>
        <v>45-26</v>
      </c>
      <c r="C48" s="9">
        <v>46078</v>
      </c>
      <c r="D48" s="2" t="s">
        <v>14</v>
      </c>
      <c r="E48" s="7" t="s">
        <v>218</v>
      </c>
      <c r="F48" t="s">
        <v>209</v>
      </c>
      <c r="G48" t="str">
        <f ca="1">IF(Log_2026[[#This Row],[Date of Complaint:]]="","",IF(Log_2026[[#This Row],[Closed Date:]]&lt;&gt;"","Closed",TODAY()-Log_2026[[#This Row],[Date of Complaint:]]))</f>
        <v>Closed</v>
      </c>
      <c r="H48" t="s">
        <v>28</v>
      </c>
      <c r="I48" s="12" t="s">
        <v>59</v>
      </c>
      <c r="J48" s="12" t="s">
        <v>219</v>
      </c>
      <c r="K48" s="8" t="s">
        <v>21</v>
      </c>
      <c r="M48" s="9">
        <v>46078</v>
      </c>
      <c r="N48" s="9" t="s">
        <v>220</v>
      </c>
      <c r="O48" s="9" t="str">
        <f>_xlfn.XLOOKUP(Log_2026[[#This Row],[Requestor name]], ID_Key[Requestor name], ID_Key[Requestor ID], "")</f>
        <v>RID0022</v>
      </c>
      <c r="Q48" s="50">
        <v>46079</v>
      </c>
      <c r="R48" s="10">
        <v>46161</v>
      </c>
      <c r="S48" s="28">
        <f>IF(OR(Log_2026[[#This Row],[Closed Date:]]="",Log_2026[[#This Row],[Closed Date:]]&lt;Log_2026[[#This Row],[Date of Complaint:]]),"",Log_2026[[#This Row],[Closed Date:]]-Log_2026[[#This Row],[Date of Complaint:]])</f>
        <v>77</v>
      </c>
      <c r="T48" s="12">
        <v>46155</v>
      </c>
      <c r="U48" s="28">
        <v>855</v>
      </c>
      <c r="V48" s="29">
        <v>0.69652777777777775</v>
      </c>
      <c r="W48" s="48">
        <v>10</v>
      </c>
      <c r="X48" s="48">
        <v>0</v>
      </c>
      <c r="Y48" s="49">
        <f>Log_2026[[#This Row],[Hours Worked To Date]]</f>
        <v>0.69652777777777775</v>
      </c>
      <c r="Z48" t="s">
        <v>221</v>
      </c>
    </row>
    <row r="49" spans="1:26" ht="28.8" x14ac:dyDescent="0.3">
      <c r="A49" s="6">
        <v>46</v>
      </c>
      <c r="B49" s="8" t="str">
        <f xml:space="preserve"> Log_2026[[#This Row],[Count]] &amp; "-26"</f>
        <v>46-26</v>
      </c>
      <c r="C49" s="9">
        <v>46042</v>
      </c>
      <c r="D49" s="2" t="s">
        <v>14</v>
      </c>
      <c r="E49" s="7" t="s">
        <v>222</v>
      </c>
      <c r="F49" t="s">
        <v>209</v>
      </c>
      <c r="G49" t="str">
        <f ca="1">IF(Log_2026[[#This Row],[Date of Complaint:]]="","",IF(Log_2026[[#This Row],[Closed Date:]]&lt;&gt;"","Closed",TODAY()-Log_2026[[#This Row],[Date of Complaint:]]))</f>
        <v>Closed</v>
      </c>
      <c r="H49" t="s">
        <v>141</v>
      </c>
      <c r="I49" s="12" t="s">
        <v>22</v>
      </c>
      <c r="J49" s="12" t="s">
        <v>64</v>
      </c>
      <c r="K49" s="8" t="s">
        <v>11</v>
      </c>
      <c r="L49" s="1" t="s">
        <v>21</v>
      </c>
      <c r="M49" s="9">
        <v>46042</v>
      </c>
      <c r="N49" s="9" t="s">
        <v>143</v>
      </c>
      <c r="O49" s="9" t="str">
        <f>_xlfn.XLOOKUP(Log_2026[[#This Row],[Requestor name]], ID_Key[Requestor name], ID_Key[Requestor ID], "")</f>
        <v>RID0005</v>
      </c>
      <c r="P49" t="s">
        <v>143</v>
      </c>
      <c r="R49" s="10">
        <v>46115</v>
      </c>
      <c r="S49" s="28">
        <f>IF(OR(Log_2026[[#This Row],[Closed Date:]]="",Log_2026[[#This Row],[Closed Date:]]&lt;Log_2026[[#This Row],[Date of Complaint:]]),"",Log_2026[[#This Row],[Closed Date:]]-Log_2026[[#This Row],[Date of Complaint:]])</f>
        <v>66</v>
      </c>
      <c r="T49" s="12">
        <v>46108</v>
      </c>
      <c r="U49" s="28">
        <v>52</v>
      </c>
      <c r="V49" s="29">
        <v>0.3972222222222222</v>
      </c>
      <c r="W49" s="48">
        <v>10</v>
      </c>
      <c r="X49" s="48">
        <v>10</v>
      </c>
      <c r="Y49" s="49">
        <f>Log_2026[[#This Row],[Hours Worked To Date]]</f>
        <v>0.3972222222222222</v>
      </c>
    </row>
    <row r="50" spans="1:26" x14ac:dyDescent="0.3">
      <c r="A50" s="6">
        <v>47</v>
      </c>
      <c r="B50" s="8" t="str">
        <f xml:space="preserve"> Log_2026[[#This Row],[Count]] &amp; "-26"</f>
        <v>47-26</v>
      </c>
      <c r="C50" s="9">
        <v>46077</v>
      </c>
      <c r="D50" s="2" t="s">
        <v>223</v>
      </c>
      <c r="E50" s="7" t="s">
        <v>224</v>
      </c>
      <c r="G50" t="str">
        <f ca="1">IF(Log_2026[[#This Row],[Date of Complaint:]]="","",IF(Log_2026[[#This Row],[Closed Date:]]&lt;&gt;"","Closed",TODAY()-Log_2026[[#This Row],[Date of Complaint:]]))</f>
        <v>Closed</v>
      </c>
      <c r="H50" t="s">
        <v>137</v>
      </c>
      <c r="I50" s="12" t="s">
        <v>22</v>
      </c>
      <c r="J50" s="12" t="s">
        <v>64</v>
      </c>
      <c r="K50" s="8" t="s">
        <v>11</v>
      </c>
      <c r="M50" s="9">
        <v>46078</v>
      </c>
      <c r="N50" s="9" t="s">
        <v>225</v>
      </c>
      <c r="O50" s="9" t="str">
        <f>_xlfn.XLOOKUP(Log_2026[[#This Row],[Requestor name]], ID_Key[Requestor name], ID_Key[Requestor ID], "")</f>
        <v>RID0038</v>
      </c>
      <c r="P50" t="s">
        <v>226</v>
      </c>
      <c r="S50" s="28">
        <f>IF(OR(Log_2026[[#This Row],[Closed Date:]]="",Log_2026[[#This Row],[Closed Date:]]&lt;Log_2026[[#This Row],[Date of Complaint:]]),"",Log_2026[[#This Row],[Closed Date:]]-Log_2026[[#This Row],[Date of Complaint:]])</f>
        <v>1</v>
      </c>
      <c r="T50" s="12">
        <v>46078</v>
      </c>
    </row>
    <row r="51" spans="1:26" x14ac:dyDescent="0.3">
      <c r="A51" s="6">
        <v>48</v>
      </c>
      <c r="B51" s="8" t="str">
        <f xml:space="preserve"> Log_2026[[#This Row],[Count]] &amp; "-26"</f>
        <v>48-26</v>
      </c>
      <c r="C51" s="9">
        <v>46036</v>
      </c>
      <c r="D51" s="2" t="s">
        <v>14</v>
      </c>
      <c r="E51" s="7" t="s">
        <v>227</v>
      </c>
      <c r="F51" t="s">
        <v>125</v>
      </c>
      <c r="G51" t="str">
        <f ca="1">IF(Log_2026[[#This Row],[Date of Complaint:]]="","",IF(Log_2026[[#This Row],[Closed Date:]]&lt;&gt;"","Closed",TODAY()-Log_2026[[#This Row],[Date of Complaint:]]))</f>
        <v>Closed</v>
      </c>
      <c r="H51" t="s">
        <v>228</v>
      </c>
      <c r="I51" s="12" t="s">
        <v>22</v>
      </c>
      <c r="J51" s="12" t="s">
        <v>64</v>
      </c>
      <c r="K51" s="8" t="s">
        <v>11</v>
      </c>
      <c r="M51" s="9">
        <v>46036</v>
      </c>
      <c r="N51" s="9" t="s">
        <v>229</v>
      </c>
      <c r="O51" s="9" t="str">
        <f>_xlfn.XLOOKUP(Log_2026[[#This Row],[Requestor name]], ID_Key[Requestor name], ID_Key[Requestor ID], "")</f>
        <v>RID0003</v>
      </c>
      <c r="P51" t="s">
        <v>230</v>
      </c>
      <c r="Q51" s="50">
        <v>46036</v>
      </c>
      <c r="S51" s="28">
        <f>IF(OR(Log_2026[[#This Row],[Closed Date:]]="",Log_2026[[#This Row],[Closed Date:]]&lt;Log_2026[[#This Row],[Date of Complaint:]]),"",Log_2026[[#This Row],[Closed Date:]]-Log_2026[[#This Row],[Date of Complaint:]])</f>
        <v>27</v>
      </c>
      <c r="T51" s="12">
        <v>46063</v>
      </c>
      <c r="W51" s="48">
        <v>0</v>
      </c>
      <c r="X51" s="48">
        <v>0</v>
      </c>
      <c r="Y51" s="49">
        <f>Log_2026[[#This Row],[Hours Worked To Date]]</f>
        <v>0</v>
      </c>
    </row>
    <row r="52" spans="1:26" ht="28.8" x14ac:dyDescent="0.3">
      <c r="A52" s="6">
        <v>49</v>
      </c>
      <c r="B52" s="8" t="str">
        <f xml:space="preserve"> Log_2026[[#This Row],[Count]] &amp; "-26"</f>
        <v>49-26</v>
      </c>
      <c r="C52" s="9">
        <v>46059</v>
      </c>
      <c r="D52" s="2" t="s">
        <v>14</v>
      </c>
      <c r="E52" s="7" t="s">
        <v>231</v>
      </c>
      <c r="F52" t="s">
        <v>125</v>
      </c>
      <c r="G52" t="str">
        <f ca="1">IF(Log_2026[[#This Row],[Date of Complaint:]]="","",IF(Log_2026[[#This Row],[Closed Date:]]&lt;&gt;"","Closed",TODAY()-Log_2026[[#This Row],[Date of Complaint:]]))</f>
        <v>Closed</v>
      </c>
      <c r="H52" t="s">
        <v>141</v>
      </c>
      <c r="I52" s="12" t="s">
        <v>22</v>
      </c>
      <c r="J52" s="12" t="s">
        <v>60</v>
      </c>
      <c r="K52" s="8" t="s">
        <v>11</v>
      </c>
      <c r="M52" s="9">
        <v>46059</v>
      </c>
      <c r="N52" s="9" t="s">
        <v>232</v>
      </c>
      <c r="O52" s="9" t="str">
        <f>_xlfn.XLOOKUP(Log_2026[[#This Row],[Requestor name]], ID_Key[Requestor name], ID_Key[Requestor ID], "")</f>
        <v>RID0039</v>
      </c>
      <c r="P52" t="s">
        <v>233</v>
      </c>
      <c r="S52" s="28">
        <f>IF(OR(Log_2026[[#This Row],[Closed Date:]]="",Log_2026[[#This Row],[Closed Date:]]&lt;Log_2026[[#This Row],[Date of Complaint:]]),"",Log_2026[[#This Row],[Closed Date:]]-Log_2026[[#This Row],[Date of Complaint:]])</f>
        <v>27</v>
      </c>
      <c r="T52" s="12">
        <v>46086</v>
      </c>
      <c r="U52" s="28">
        <v>4</v>
      </c>
      <c r="V52" s="29">
        <v>4.1666666666666664E-2</v>
      </c>
      <c r="W52" s="30">
        <v>0</v>
      </c>
      <c r="X52" s="30">
        <v>0</v>
      </c>
      <c r="Y52" s="49">
        <f>Log_2026[[#This Row],[Hours Worked To Date]]</f>
        <v>4.1666666666666664E-2</v>
      </c>
      <c r="Z52" t="s">
        <v>147</v>
      </c>
    </row>
    <row r="53" spans="1:26" x14ac:dyDescent="0.3">
      <c r="A53" s="6">
        <v>50</v>
      </c>
      <c r="B53" s="8" t="str">
        <f xml:space="preserve"> Log_2026[[#This Row],[Count]] &amp; "-26"</f>
        <v>50-26</v>
      </c>
      <c r="C53" s="9">
        <v>46078</v>
      </c>
      <c r="D53" s="2" t="s">
        <v>234</v>
      </c>
      <c r="E53" s="7" t="s">
        <v>235</v>
      </c>
      <c r="G53" t="str">
        <f ca="1">IF(Log_2026[[#This Row],[Date of Complaint:]]="","",IF(Log_2026[[#This Row],[Closed Date:]]&lt;&gt;"","Closed",TODAY()-Log_2026[[#This Row],[Date of Complaint:]]))</f>
        <v>Closed</v>
      </c>
      <c r="H53" t="s">
        <v>228</v>
      </c>
      <c r="I53" s="12" t="s">
        <v>22</v>
      </c>
      <c r="J53" s="12" t="s">
        <v>64</v>
      </c>
      <c r="K53" s="8" t="s">
        <v>117</v>
      </c>
      <c r="M53" s="9">
        <v>46078</v>
      </c>
      <c r="N53" s="9" t="s">
        <v>236</v>
      </c>
      <c r="O53" s="9" t="str">
        <f>_xlfn.XLOOKUP(Log_2026[[#This Row],[Requestor name]], ID_Key[Requestor name], ID_Key[Requestor ID], "")</f>
        <v>RID0040</v>
      </c>
      <c r="S53" s="28">
        <f>IF(OR(Log_2026[[#This Row],[Closed Date:]]="",Log_2026[[#This Row],[Closed Date:]]&lt;Log_2026[[#This Row],[Date of Complaint:]]),"",Log_2026[[#This Row],[Closed Date:]]-Log_2026[[#This Row],[Date of Complaint:]])</f>
        <v>0</v>
      </c>
      <c r="T53" s="12">
        <v>46078</v>
      </c>
      <c r="W53" s="30"/>
      <c r="X53" s="30"/>
    </row>
    <row r="54" spans="1:26" ht="28.8" x14ac:dyDescent="0.3">
      <c r="A54" s="6">
        <v>51</v>
      </c>
      <c r="B54" s="8" t="str">
        <f xml:space="preserve"> Log_2026[[#This Row],[Count]] &amp; "-26"</f>
        <v>51-26</v>
      </c>
      <c r="C54" s="9">
        <v>46083</v>
      </c>
      <c r="D54" s="2" t="s">
        <v>237</v>
      </c>
      <c r="E54" s="7" t="s">
        <v>238</v>
      </c>
      <c r="G54" t="str">
        <f ca="1">IF(Log_2026[[#This Row],[Date of Complaint:]]="","",IF(Log_2026[[#This Row],[Closed Date:]]&lt;&gt;"","Closed",TODAY()-Log_2026[[#This Row],[Date of Complaint:]]))</f>
        <v>Closed</v>
      </c>
      <c r="H54" t="s">
        <v>137</v>
      </c>
      <c r="I54" s="12" t="s">
        <v>22</v>
      </c>
      <c r="J54" s="12" t="s">
        <v>64</v>
      </c>
      <c r="K54" s="8" t="s">
        <v>10</v>
      </c>
      <c r="M54" s="9">
        <v>46083</v>
      </c>
      <c r="N54" s="9" t="s">
        <v>239</v>
      </c>
      <c r="O54" s="9" t="str">
        <f>_xlfn.XLOOKUP(Log_2026[[#This Row],[Requestor name]], ID_Key[Requestor name], ID_Key[Requestor ID], "")</f>
        <v>RID0041</v>
      </c>
      <c r="P54" t="s">
        <v>240</v>
      </c>
      <c r="S54" s="28">
        <f>IF(OR(Log_2026[[#This Row],[Closed Date:]]="",Log_2026[[#This Row],[Closed Date:]]&lt;Log_2026[[#This Row],[Date of Complaint:]]),"",Log_2026[[#This Row],[Closed Date:]]-Log_2026[[#This Row],[Date of Complaint:]])</f>
        <v>0</v>
      </c>
      <c r="T54" s="12">
        <v>46083</v>
      </c>
      <c r="W54" s="30"/>
      <c r="X54" s="30"/>
    </row>
    <row r="55" spans="1:26" ht="28.8" x14ac:dyDescent="0.3">
      <c r="A55" s="6">
        <v>52</v>
      </c>
      <c r="B55" s="8" t="str">
        <f xml:space="preserve"> Log_2026[[#This Row],[Count]] &amp; "-26"</f>
        <v>52-26</v>
      </c>
      <c r="C55" s="9">
        <v>46084</v>
      </c>
      <c r="D55" s="2" t="s">
        <v>14</v>
      </c>
      <c r="E55" s="7" t="s">
        <v>241</v>
      </c>
      <c r="F55" t="s">
        <v>105</v>
      </c>
      <c r="G55" t="str">
        <f ca="1">IF(Log_2026[[#This Row],[Date of Complaint:]]="","",IF(Log_2026[[#This Row],[Closed Date:]]&lt;&gt;"","Closed",TODAY()-Log_2026[[#This Row],[Date of Complaint:]]))</f>
        <v>Closed</v>
      </c>
      <c r="H55" t="s">
        <v>228</v>
      </c>
      <c r="I55" s="12" t="s">
        <v>22</v>
      </c>
      <c r="J55" s="12" t="s">
        <v>64</v>
      </c>
      <c r="K55" s="8" t="s">
        <v>117</v>
      </c>
      <c r="M55" s="9">
        <v>46084</v>
      </c>
      <c r="N55" s="9" t="s">
        <v>242</v>
      </c>
      <c r="O55" s="9" t="str">
        <f>_xlfn.XLOOKUP(Log_2026[[#This Row],[Requestor name]], ID_Key[Requestor name], ID_Key[Requestor ID], "")</f>
        <v>RID0042</v>
      </c>
      <c r="P55" t="s">
        <v>243</v>
      </c>
      <c r="Q55" s="50">
        <v>46084</v>
      </c>
      <c r="S55" s="28">
        <f>IF(OR(Log_2026[[#This Row],[Closed Date:]]="",Log_2026[[#This Row],[Closed Date:]]&lt;Log_2026[[#This Row],[Date of Complaint:]]),"",Log_2026[[#This Row],[Closed Date:]]-Log_2026[[#This Row],[Date of Complaint:]])</f>
        <v>0</v>
      </c>
      <c r="T55" s="12">
        <v>46084</v>
      </c>
      <c r="U55" s="28">
        <v>0</v>
      </c>
      <c r="V55" s="29">
        <v>6.9444444444444441E-3</v>
      </c>
      <c r="W55" s="30">
        <v>0</v>
      </c>
      <c r="X55" s="30">
        <v>0</v>
      </c>
      <c r="Y55" s="49">
        <f>Log_2026[[#This Row],[Hours Worked To Date]]</f>
        <v>6.9444444444444441E-3</v>
      </c>
    </row>
    <row r="56" spans="1:26" ht="28.8" x14ac:dyDescent="0.3">
      <c r="A56" s="6">
        <v>53</v>
      </c>
      <c r="B56" s="8" t="str">
        <f xml:space="preserve"> Log_2026[[#This Row],[Count]] &amp; "-26"</f>
        <v>53-26</v>
      </c>
      <c r="C56" s="9">
        <v>46084</v>
      </c>
      <c r="D56" s="2" t="s">
        <v>14</v>
      </c>
      <c r="E56" s="7" t="s">
        <v>244</v>
      </c>
      <c r="F56" t="s">
        <v>105</v>
      </c>
      <c r="G56" t="str">
        <f ca="1">IF(Log_2026[[#This Row],[Date of Complaint:]]="","",IF(Log_2026[[#This Row],[Closed Date:]]&lt;&gt;"","Closed",TODAY()-Log_2026[[#This Row],[Date of Complaint:]]))</f>
        <v>Closed</v>
      </c>
      <c r="H56" t="s">
        <v>228</v>
      </c>
      <c r="I56" s="12" t="s">
        <v>22</v>
      </c>
      <c r="J56" s="12" t="s">
        <v>64</v>
      </c>
      <c r="K56" s="8" t="s">
        <v>117</v>
      </c>
      <c r="M56" s="9">
        <v>46084</v>
      </c>
      <c r="N56" s="9" t="s">
        <v>242</v>
      </c>
      <c r="O56" s="9" t="str">
        <f>_xlfn.XLOOKUP(Log_2026[[#This Row],[Requestor name]], ID_Key[Requestor name], ID_Key[Requestor ID], "")</f>
        <v>RID0042</v>
      </c>
      <c r="P56" t="s">
        <v>243</v>
      </c>
      <c r="Q56" s="50">
        <v>46084</v>
      </c>
      <c r="S56" s="28">
        <f>IF(OR(Log_2026[[#This Row],[Closed Date:]]="",Log_2026[[#This Row],[Closed Date:]]&lt;Log_2026[[#This Row],[Date of Complaint:]]),"",Log_2026[[#This Row],[Closed Date:]]-Log_2026[[#This Row],[Date of Complaint:]])</f>
        <v>0</v>
      </c>
      <c r="T56" s="12">
        <v>46084</v>
      </c>
      <c r="U56" s="28">
        <v>0</v>
      </c>
      <c r="V56" s="29">
        <v>6.9444444444444441E-3</v>
      </c>
      <c r="W56" s="30">
        <v>0</v>
      </c>
      <c r="X56" s="30">
        <v>0</v>
      </c>
      <c r="Y56" s="49">
        <f>Log_2026[[#This Row],[Hours Worked To Date]]</f>
        <v>6.9444444444444441E-3</v>
      </c>
    </row>
    <row r="57" spans="1:26" ht="28.8" x14ac:dyDescent="0.3">
      <c r="A57" s="6">
        <v>54</v>
      </c>
      <c r="B57" s="8" t="str">
        <f xml:space="preserve"> Log_2026[[#This Row],[Count]] &amp; "-26"</f>
        <v>54-26</v>
      </c>
      <c r="C57" s="9">
        <v>46083</v>
      </c>
      <c r="D57" s="2" t="s">
        <v>14</v>
      </c>
      <c r="E57" s="7" t="s">
        <v>245</v>
      </c>
      <c r="F57" t="s">
        <v>136</v>
      </c>
      <c r="G57" t="str">
        <f ca="1">IF(Log_2026[[#This Row],[Date of Complaint:]]="","",IF(Log_2026[[#This Row],[Closed Date:]]&lt;&gt;"","Closed",TODAY()-Log_2026[[#This Row],[Date of Complaint:]]))</f>
        <v>Closed</v>
      </c>
      <c r="H57" t="s">
        <v>246</v>
      </c>
      <c r="I57" s="12" t="s">
        <v>22</v>
      </c>
      <c r="J57" s="12" t="s">
        <v>64</v>
      </c>
      <c r="K57" s="8" t="s">
        <v>73</v>
      </c>
      <c r="L57" s="1" t="s">
        <v>9</v>
      </c>
      <c r="M57" s="9">
        <v>46083</v>
      </c>
      <c r="N57" s="9" t="s">
        <v>247</v>
      </c>
      <c r="O57" s="9" t="str">
        <f>_xlfn.XLOOKUP(Log_2026[[#This Row],[Requestor name]], ID_Key[Requestor name], ID_Key[Requestor ID], "")</f>
        <v>RID0043</v>
      </c>
      <c r="P57" s="20" t="s">
        <v>248</v>
      </c>
      <c r="Q57" s="50">
        <v>46083</v>
      </c>
      <c r="S57" s="28">
        <f>IF(OR(Log_2026[[#This Row],[Closed Date:]]="",Log_2026[[#This Row],[Closed Date:]]&lt;Log_2026[[#This Row],[Date of Complaint:]]),"",Log_2026[[#This Row],[Closed Date:]]-Log_2026[[#This Row],[Date of Complaint:]])</f>
        <v>3</v>
      </c>
      <c r="T57" s="12">
        <v>46086</v>
      </c>
      <c r="U57" s="28">
        <v>53</v>
      </c>
      <c r="W57" s="30">
        <v>0</v>
      </c>
      <c r="X57" s="30">
        <v>10</v>
      </c>
      <c r="Y57" s="49">
        <f>Log_2026[[#This Row],[Hours Worked To Date]]</f>
        <v>0</v>
      </c>
    </row>
    <row r="58" spans="1:26" x14ac:dyDescent="0.3">
      <c r="A58" s="6">
        <v>55</v>
      </c>
      <c r="B58" s="8" t="str">
        <f xml:space="preserve"> Log_2026[[#This Row],[Count]] &amp; "-26"</f>
        <v>55-26</v>
      </c>
      <c r="C58" s="9">
        <v>46073</v>
      </c>
      <c r="D58" s="2" t="s">
        <v>14</v>
      </c>
      <c r="E58" s="7" t="s">
        <v>249</v>
      </c>
      <c r="F58" t="s">
        <v>105</v>
      </c>
      <c r="G58" t="str">
        <f ca="1">IF(Log_2026[[#This Row],[Date of Complaint:]]="","",IF(Log_2026[[#This Row],[Closed Date:]]&lt;&gt;"","Closed",TODAY()-Log_2026[[#This Row],[Date of Complaint:]]))</f>
        <v>Closed</v>
      </c>
      <c r="H58" t="s">
        <v>28</v>
      </c>
      <c r="I58" s="12" t="s">
        <v>22</v>
      </c>
      <c r="J58" s="12" t="s">
        <v>64</v>
      </c>
      <c r="K58" s="8" t="s">
        <v>117</v>
      </c>
      <c r="M58" s="9">
        <v>46073</v>
      </c>
      <c r="N58" s="9" t="s">
        <v>250</v>
      </c>
      <c r="O58" s="9" t="str">
        <f>_xlfn.XLOOKUP(Log_2026[[#This Row],[Requestor name]], ID_Key[Requestor name], ID_Key[Requestor ID], "")</f>
        <v>RID0044</v>
      </c>
      <c r="P58" s="20" t="s">
        <v>251</v>
      </c>
      <c r="Q58" s="50">
        <v>46078</v>
      </c>
      <c r="S58" s="28">
        <f>IF(OR(Log_2026[[#This Row],[Closed Date:]]="",Log_2026[[#This Row],[Closed Date:]]&lt;Log_2026[[#This Row],[Date of Complaint:]]),"",Log_2026[[#This Row],[Closed Date:]]-Log_2026[[#This Row],[Date of Complaint:]])</f>
        <v>10</v>
      </c>
      <c r="T58" s="12">
        <v>46083</v>
      </c>
      <c r="U58" s="28">
        <v>1</v>
      </c>
      <c r="W58" s="30">
        <v>0</v>
      </c>
      <c r="X58" s="30">
        <v>0</v>
      </c>
      <c r="Y58" s="49">
        <f>Log_2026[[#This Row],[Hours Worked To Date]]</f>
        <v>0</v>
      </c>
    </row>
    <row r="59" spans="1:26" ht="43.2" x14ac:dyDescent="0.3">
      <c r="A59" s="6">
        <v>56</v>
      </c>
      <c r="B59" s="8" t="str">
        <f xml:space="preserve"> Log_2026[[#This Row],[Count]] &amp; "-26"</f>
        <v>56-26</v>
      </c>
      <c r="C59" s="9">
        <v>46085</v>
      </c>
      <c r="D59" s="2" t="s">
        <v>14</v>
      </c>
      <c r="E59" s="7" t="s">
        <v>252</v>
      </c>
      <c r="F59" t="s">
        <v>209</v>
      </c>
      <c r="G59" t="str">
        <f ca="1">IF(Log_2026[[#This Row],[Date of Complaint:]]="","",IF(Log_2026[[#This Row],[Closed Date:]]&lt;&gt;"","Closed",TODAY()-Log_2026[[#This Row],[Date of Complaint:]]))</f>
        <v>Closed</v>
      </c>
      <c r="H59" t="s">
        <v>228</v>
      </c>
      <c r="I59" s="12" t="s">
        <v>22</v>
      </c>
      <c r="J59" s="12" t="s">
        <v>64</v>
      </c>
      <c r="K59" s="8" t="s">
        <v>11</v>
      </c>
      <c r="M59" s="9">
        <v>46085</v>
      </c>
      <c r="N59" s="9" t="s">
        <v>253</v>
      </c>
      <c r="O59" s="9" t="str">
        <f>_xlfn.XLOOKUP(Log_2026[[#This Row],[Requestor name]], ID_Key[Requestor name], ID_Key[Requestor ID], "")</f>
        <v>RID0045</v>
      </c>
      <c r="P59" t="s">
        <v>254</v>
      </c>
      <c r="Q59" s="50">
        <v>46085</v>
      </c>
      <c r="S59" s="28">
        <f>IF(OR(Log_2026[[#This Row],[Closed Date:]]="",Log_2026[[#This Row],[Closed Date:]]&lt;Log_2026[[#This Row],[Date of Complaint:]]),"",Log_2026[[#This Row],[Closed Date:]]-Log_2026[[#This Row],[Date of Complaint:]])</f>
        <v>23</v>
      </c>
      <c r="T59" s="12">
        <v>46108</v>
      </c>
      <c r="U59" s="28">
        <v>24</v>
      </c>
      <c r="W59" s="30">
        <v>10</v>
      </c>
      <c r="X59" s="30">
        <v>0</v>
      </c>
      <c r="Y59" s="49">
        <f>Log_2026[[#This Row],[Hours Worked To Date]]</f>
        <v>0</v>
      </c>
      <c r="Z59" t="s">
        <v>255</v>
      </c>
    </row>
    <row r="60" spans="1:26" x14ac:dyDescent="0.3">
      <c r="A60" s="6">
        <v>57</v>
      </c>
      <c r="B60" s="8" t="str">
        <f xml:space="preserve"> Log_2026[[#This Row],[Count]] &amp; "-26"</f>
        <v>57-26</v>
      </c>
      <c r="C60" s="9">
        <v>46085</v>
      </c>
      <c r="D60" s="2" t="s">
        <v>256</v>
      </c>
      <c r="E60" s="7" t="s">
        <v>257</v>
      </c>
      <c r="G60" t="str">
        <f ca="1">IF(Log_2026[[#This Row],[Date of Complaint:]]="","",IF(Log_2026[[#This Row],[Closed Date:]]&lt;&gt;"","Closed",TODAY()-Log_2026[[#This Row],[Date of Complaint:]]))</f>
        <v>Closed</v>
      </c>
      <c r="H60" t="s">
        <v>258</v>
      </c>
      <c r="I60" s="12" t="s">
        <v>22</v>
      </c>
      <c r="J60" s="12" t="s">
        <v>64</v>
      </c>
      <c r="K60" s="8" t="s">
        <v>9</v>
      </c>
      <c r="M60" s="9">
        <v>46085</v>
      </c>
      <c r="N60" s="9" t="s">
        <v>259</v>
      </c>
      <c r="O60" s="9" t="str">
        <f>_xlfn.XLOOKUP(Log_2026[[#This Row],[Requestor name]], ID_Key[Requestor name], ID_Key[Requestor ID], "")</f>
        <v>RID0046</v>
      </c>
      <c r="P60" s="20" t="s">
        <v>260</v>
      </c>
      <c r="Q60" s="51"/>
      <c r="S60" s="28">
        <f>IF(OR(Log_2026[[#This Row],[Closed Date:]]="",Log_2026[[#This Row],[Closed Date:]]&lt;Log_2026[[#This Row],[Date of Complaint:]]),"",Log_2026[[#This Row],[Closed Date:]]-Log_2026[[#This Row],[Date of Complaint:]])</f>
        <v>41</v>
      </c>
      <c r="T60" s="12">
        <v>46126</v>
      </c>
      <c r="W60" s="30"/>
      <c r="X60" s="30"/>
      <c r="Z60" t="s">
        <v>261</v>
      </c>
    </row>
    <row r="61" spans="1:26" ht="43.2" x14ac:dyDescent="0.3">
      <c r="A61" s="6">
        <v>58</v>
      </c>
      <c r="B61" s="8" t="str">
        <f xml:space="preserve"> Log_2026[[#This Row],[Count]] &amp; "-26"</f>
        <v>58-26</v>
      </c>
      <c r="C61" s="9">
        <v>46086</v>
      </c>
      <c r="D61" s="2" t="s">
        <v>14</v>
      </c>
      <c r="E61" s="7" t="s">
        <v>262</v>
      </c>
      <c r="F61" t="s">
        <v>209</v>
      </c>
      <c r="G61" t="str">
        <f ca="1">IF(Log_2026[[#This Row],[Date of Complaint:]]="","",IF(Log_2026[[#This Row],[Closed Date:]]&lt;&gt;"","Closed",TODAY()-Log_2026[[#This Row],[Date of Complaint:]]))</f>
        <v>Closed</v>
      </c>
      <c r="H61" t="s">
        <v>263</v>
      </c>
      <c r="I61" s="12" t="s">
        <v>22</v>
      </c>
      <c r="J61" s="12" t="s">
        <v>264</v>
      </c>
      <c r="K61" s="8" t="s">
        <v>11</v>
      </c>
      <c r="M61" s="9">
        <v>46085</v>
      </c>
      <c r="N61" s="9" t="s">
        <v>265</v>
      </c>
      <c r="O61" s="9" t="str">
        <f>_xlfn.XLOOKUP(Log_2026[[#This Row],[Requestor name]], ID_Key[Requestor name], ID_Key[Requestor ID], "")</f>
        <v>RID0047</v>
      </c>
      <c r="P61" s="20" t="s">
        <v>266</v>
      </c>
      <c r="Q61" s="50">
        <v>46086</v>
      </c>
      <c r="S61" s="28">
        <f>IF(OR(Log_2026[[#This Row],[Closed Date:]]="",Log_2026[[#This Row],[Closed Date:]]&lt;Log_2026[[#This Row],[Date of Complaint:]]),"",Log_2026[[#This Row],[Closed Date:]]-Log_2026[[#This Row],[Date of Complaint:]])</f>
        <v>22</v>
      </c>
      <c r="T61" s="12">
        <v>46108</v>
      </c>
      <c r="U61" s="28">
        <v>24</v>
      </c>
      <c r="W61" s="30">
        <v>10</v>
      </c>
      <c r="X61" s="30">
        <v>0</v>
      </c>
      <c r="Y61" s="49">
        <f>Log_2026[[#This Row],[Hours Worked To Date]]</f>
        <v>0</v>
      </c>
      <c r="Z61" t="s">
        <v>255</v>
      </c>
    </row>
    <row r="62" spans="1:26" x14ac:dyDescent="0.3">
      <c r="A62" s="6">
        <v>59</v>
      </c>
      <c r="B62" s="8" t="str">
        <f xml:space="preserve"> Log_2026[[#This Row],[Count]] &amp; "-26"</f>
        <v>59-26</v>
      </c>
      <c r="C62" s="9">
        <v>46085</v>
      </c>
      <c r="D62" s="2" t="s">
        <v>267</v>
      </c>
      <c r="E62" s="7" t="s">
        <v>268</v>
      </c>
      <c r="G62" t="str">
        <f ca="1">IF(Log_2026[[#This Row],[Date of Complaint:]]="","",IF(Log_2026[[#This Row],[Closed Date:]]&lt;&gt;"","Closed",TODAY()-Log_2026[[#This Row],[Date of Complaint:]]))</f>
        <v>Closed</v>
      </c>
      <c r="H62" t="s">
        <v>228</v>
      </c>
      <c r="I62" s="12" t="s">
        <v>22</v>
      </c>
      <c r="J62" s="12" t="s">
        <v>64</v>
      </c>
      <c r="K62" s="8" t="s">
        <v>117</v>
      </c>
      <c r="M62" s="9">
        <v>46085</v>
      </c>
      <c r="N62" s="9" t="s">
        <v>269</v>
      </c>
      <c r="O62" s="9" t="str">
        <f>_xlfn.XLOOKUP(Log_2026[[#This Row],[Requestor name]], ID_Key[Requestor name], ID_Key[Requestor ID], "")</f>
        <v>RID0048</v>
      </c>
      <c r="P62" t="s">
        <v>270</v>
      </c>
      <c r="S62" s="28">
        <f>IF(OR(Log_2026[[#This Row],[Closed Date:]]="",Log_2026[[#This Row],[Closed Date:]]&lt;Log_2026[[#This Row],[Date of Complaint:]]),"",Log_2026[[#This Row],[Closed Date:]]-Log_2026[[#This Row],[Date of Complaint:]])</f>
        <v>1</v>
      </c>
      <c r="T62" s="12">
        <v>46086</v>
      </c>
      <c r="W62" s="30"/>
      <c r="X62" s="30"/>
    </row>
    <row r="63" spans="1:26" x14ac:dyDescent="0.3">
      <c r="A63" s="6">
        <v>60</v>
      </c>
      <c r="B63" s="8" t="str">
        <f xml:space="preserve"> Log_2026[[#This Row],[Count]] &amp; "-26"</f>
        <v>60-26</v>
      </c>
      <c r="C63" s="9">
        <v>46088</v>
      </c>
      <c r="D63" s="2" t="s">
        <v>271</v>
      </c>
      <c r="E63" s="7" t="s">
        <v>272</v>
      </c>
      <c r="G63" t="str">
        <f ca="1">IF(Log_2026[[#This Row],[Date of Complaint:]]="","",IF(Log_2026[[#This Row],[Closed Date:]]&lt;&gt;"","Closed",TODAY()-Log_2026[[#This Row],[Date of Complaint:]]))</f>
        <v>Closed</v>
      </c>
      <c r="H63" t="s">
        <v>137</v>
      </c>
      <c r="I63" s="12" t="s">
        <v>22</v>
      </c>
      <c r="J63" s="12" t="s">
        <v>116</v>
      </c>
      <c r="K63" s="8" t="s">
        <v>117</v>
      </c>
      <c r="M63" s="9">
        <v>46090</v>
      </c>
      <c r="N63" s="9" t="s">
        <v>273</v>
      </c>
      <c r="O63" s="9" t="str">
        <f>_xlfn.XLOOKUP(Log_2026[[#This Row],[Requestor name]], ID_Key[Requestor name], ID_Key[Requestor ID], "")</f>
        <v>RID0049</v>
      </c>
      <c r="P63" t="s">
        <v>274</v>
      </c>
      <c r="S63" s="28">
        <f>IF(OR(Log_2026[[#This Row],[Closed Date:]]="",Log_2026[[#This Row],[Closed Date:]]&lt;Log_2026[[#This Row],[Date of Complaint:]]),"",Log_2026[[#This Row],[Closed Date:]]-Log_2026[[#This Row],[Date of Complaint:]])</f>
        <v>39</v>
      </c>
      <c r="T63" s="12">
        <v>46127</v>
      </c>
      <c r="W63" s="30"/>
      <c r="X63" s="30"/>
    </row>
    <row r="64" spans="1:26" x14ac:dyDescent="0.3">
      <c r="A64" s="6">
        <v>61</v>
      </c>
      <c r="B64" s="8" t="str">
        <f xml:space="preserve"> Log_2026[[#This Row],[Count]] &amp; "-26"</f>
        <v>61-26</v>
      </c>
      <c r="C64" s="9">
        <v>46086</v>
      </c>
      <c r="D64" s="2" t="s">
        <v>275</v>
      </c>
      <c r="E64" s="7" t="s">
        <v>276</v>
      </c>
      <c r="G64">
        <f ca="1">IF(Log_2026[[#This Row],[Date of Complaint:]]="","",IF(Log_2026[[#This Row],[Closed Date:]]&lt;&gt;"","Closed",TODAY()-Log_2026[[#This Row],[Date of Complaint:]]))</f>
        <v>80</v>
      </c>
      <c r="H64" t="s">
        <v>277</v>
      </c>
      <c r="I64" s="12" t="s">
        <v>59</v>
      </c>
      <c r="K64" s="8" t="s">
        <v>117</v>
      </c>
      <c r="M64" s="9">
        <v>46086</v>
      </c>
      <c r="N64" s="9" t="s">
        <v>15</v>
      </c>
      <c r="O64" s="9" t="str">
        <f>_xlfn.XLOOKUP(Log_2026[[#This Row],[Requestor name]], ID_Key[Requestor name], ID_Key[Requestor ID], "")</f>
        <v>RID0050</v>
      </c>
      <c r="S64" s="28" t="str">
        <f>IF(OR(Log_2026[[#This Row],[Closed Date:]]="",Log_2026[[#This Row],[Closed Date:]]&lt;Log_2026[[#This Row],[Date of Complaint:]]),"",Log_2026[[#This Row],[Closed Date:]]-Log_2026[[#This Row],[Date of Complaint:]])</f>
        <v/>
      </c>
      <c r="W64" s="30"/>
      <c r="X64" s="30"/>
    </row>
    <row r="65" spans="1:26" x14ac:dyDescent="0.3">
      <c r="A65" s="6">
        <v>62</v>
      </c>
      <c r="B65" s="8" t="str">
        <f xml:space="preserve"> Log_2026[[#This Row],[Count]] &amp; "-26"</f>
        <v>62-26</v>
      </c>
      <c r="C65" s="9">
        <v>46085</v>
      </c>
      <c r="D65" s="2" t="s">
        <v>234</v>
      </c>
      <c r="E65" s="7" t="s">
        <v>249</v>
      </c>
      <c r="G65" t="str">
        <f ca="1">IF(Log_2026[[#This Row],[Date of Complaint:]]="","",IF(Log_2026[[#This Row],[Closed Date:]]&lt;&gt;"","Closed",TODAY()-Log_2026[[#This Row],[Date of Complaint:]]))</f>
        <v>Closed</v>
      </c>
      <c r="H65" t="s">
        <v>228</v>
      </c>
      <c r="I65" s="12" t="s">
        <v>22</v>
      </c>
      <c r="J65" s="12" t="s">
        <v>64</v>
      </c>
      <c r="K65" s="8" t="s">
        <v>117</v>
      </c>
      <c r="M65" s="9">
        <v>46085</v>
      </c>
      <c r="N65" s="9" t="s">
        <v>278</v>
      </c>
      <c r="O65" s="9" t="str">
        <f>_xlfn.XLOOKUP(Log_2026[[#This Row],[Requestor name]], ID_Key[Requestor name], ID_Key[Requestor ID], "")</f>
        <v>RID0051</v>
      </c>
      <c r="P65" t="s">
        <v>279</v>
      </c>
      <c r="S65" s="28">
        <f>IF(OR(Log_2026[[#This Row],[Closed Date:]]="",Log_2026[[#This Row],[Closed Date:]]&lt;Log_2026[[#This Row],[Date of Complaint:]]),"",Log_2026[[#This Row],[Closed Date:]]-Log_2026[[#This Row],[Date of Complaint:]])</f>
        <v>0</v>
      </c>
      <c r="T65" s="12">
        <v>46085</v>
      </c>
      <c r="W65" s="30"/>
      <c r="X65" s="30"/>
    </row>
    <row r="66" spans="1:26" x14ac:dyDescent="0.3">
      <c r="A66" s="6">
        <v>63</v>
      </c>
      <c r="B66" s="8" t="str">
        <f xml:space="preserve"> Log_2026[[#This Row],[Count]] &amp; "-26"</f>
        <v>63-26</v>
      </c>
      <c r="C66" s="9">
        <v>46086</v>
      </c>
      <c r="D66" s="2" t="s">
        <v>34</v>
      </c>
      <c r="E66" s="7" t="s">
        <v>280</v>
      </c>
      <c r="G66">
        <f ca="1">IF(Log_2026[[#This Row],[Date of Complaint:]]="","",IF(Log_2026[[#This Row],[Closed Date:]]&lt;&gt;"","Closed",TODAY()-Log_2026[[#This Row],[Date of Complaint:]]))</f>
        <v>80</v>
      </c>
      <c r="H66" t="s">
        <v>137</v>
      </c>
      <c r="I66" s="12" t="s">
        <v>59</v>
      </c>
      <c r="K66" s="8" t="s">
        <v>10</v>
      </c>
      <c r="M66" s="9">
        <v>46090</v>
      </c>
      <c r="N66" s="9" t="s">
        <v>281</v>
      </c>
      <c r="O66" s="9" t="str">
        <f>_xlfn.XLOOKUP(Log_2026[[#This Row],[Requestor name]], ID_Key[Requestor name], ID_Key[Requestor ID], "")</f>
        <v>RID0052</v>
      </c>
      <c r="P66" t="s">
        <v>282</v>
      </c>
      <c r="S66" s="28" t="str">
        <f>IF(OR(Log_2026[[#This Row],[Closed Date:]]="",Log_2026[[#This Row],[Closed Date:]]&lt;Log_2026[[#This Row],[Date of Complaint:]]),"",Log_2026[[#This Row],[Closed Date:]]-Log_2026[[#This Row],[Date of Complaint:]])</f>
        <v/>
      </c>
      <c r="W66" s="30"/>
      <c r="X66" s="30"/>
    </row>
    <row r="67" spans="1:26" x14ac:dyDescent="0.3">
      <c r="A67" s="6">
        <v>64</v>
      </c>
      <c r="B67" s="8" t="str">
        <f xml:space="preserve"> Log_2026[[#This Row],[Count]] &amp; "-26"</f>
        <v>64-26</v>
      </c>
      <c r="C67" s="9">
        <v>46091</v>
      </c>
      <c r="D67" s="2" t="s">
        <v>283</v>
      </c>
      <c r="E67" s="7" t="s">
        <v>284</v>
      </c>
      <c r="G67">
        <f ca="1">IF(Log_2026[[#This Row],[Date of Complaint:]]="","",IF(Log_2026[[#This Row],[Closed Date:]]&lt;&gt;"","Closed",TODAY()-Log_2026[[#This Row],[Date of Complaint:]]))</f>
        <v>75</v>
      </c>
      <c r="H67" t="s">
        <v>285</v>
      </c>
      <c r="I67" s="12" t="s">
        <v>59</v>
      </c>
      <c r="K67" s="8" t="s">
        <v>9</v>
      </c>
      <c r="M67" s="9">
        <v>46091</v>
      </c>
      <c r="N67" s="9" t="s">
        <v>286</v>
      </c>
      <c r="O67" s="9" t="str">
        <f>_xlfn.XLOOKUP(Log_2026[[#This Row],[Requestor name]], ID_Key[Requestor name], ID_Key[Requestor ID], "")</f>
        <v>RID0053</v>
      </c>
      <c r="P67" s="20" t="s">
        <v>287</v>
      </c>
      <c r="Q67" s="51"/>
      <c r="R67" s="10">
        <v>46203</v>
      </c>
      <c r="S67" s="28" t="str">
        <f>IF(OR(Log_2026[[#This Row],[Closed Date:]]="",Log_2026[[#This Row],[Closed Date:]]&lt;Log_2026[[#This Row],[Date of Complaint:]]),"",Log_2026[[#This Row],[Closed Date:]]-Log_2026[[#This Row],[Date of Complaint:]])</f>
        <v/>
      </c>
      <c r="W67" s="30"/>
      <c r="X67" s="30"/>
      <c r="Z67" t="s">
        <v>288</v>
      </c>
    </row>
    <row r="68" spans="1:26" x14ac:dyDescent="0.3">
      <c r="A68" s="6">
        <v>65</v>
      </c>
      <c r="B68" s="8" t="str">
        <f xml:space="preserve"> Log_2026[[#This Row],[Count]] &amp; "-26"</f>
        <v>65-26</v>
      </c>
      <c r="C68" s="9">
        <v>46092</v>
      </c>
      <c r="D68" s="2" t="s">
        <v>289</v>
      </c>
      <c r="E68" s="7" t="s">
        <v>290</v>
      </c>
      <c r="G68">
        <f ca="1">IF(Log_2026[[#This Row],[Date of Complaint:]]="","",IF(Log_2026[[#This Row],[Closed Date:]]&lt;&gt;"","Closed",TODAY()-Log_2026[[#This Row],[Date of Complaint:]]))</f>
        <v>74</v>
      </c>
      <c r="H68" t="s">
        <v>291</v>
      </c>
      <c r="I68" s="12" t="s">
        <v>59</v>
      </c>
      <c r="K68" s="8" t="s">
        <v>9</v>
      </c>
      <c r="L68" s="1" t="s">
        <v>117</v>
      </c>
      <c r="M68" s="9">
        <v>46093</v>
      </c>
      <c r="N68" s="9" t="s">
        <v>292</v>
      </c>
      <c r="O68" s="9" t="str">
        <f>_xlfn.XLOOKUP(Log_2026[[#This Row],[Requestor name]], ID_Key[Requestor name], ID_Key[Requestor ID], "")</f>
        <v>RID0054</v>
      </c>
      <c r="P68" s="20" t="s">
        <v>293</v>
      </c>
      <c r="Q68" s="51"/>
      <c r="R68" s="10">
        <v>46142</v>
      </c>
      <c r="S68" s="28" t="str">
        <f>IF(OR(Log_2026[[#This Row],[Closed Date:]]="",Log_2026[[#This Row],[Closed Date:]]&lt;Log_2026[[#This Row],[Date of Complaint:]]),"",Log_2026[[#This Row],[Closed Date:]]-Log_2026[[#This Row],[Date of Complaint:]])</f>
        <v/>
      </c>
      <c r="W68" s="30"/>
      <c r="X68" s="30"/>
      <c r="Z68" t="s">
        <v>294</v>
      </c>
    </row>
    <row r="69" spans="1:26" x14ac:dyDescent="0.3">
      <c r="A69" s="6">
        <v>66</v>
      </c>
      <c r="B69" s="8" t="str">
        <f xml:space="preserve"> Log_2026[[#This Row],[Count]] &amp; "-26"</f>
        <v>66-26</v>
      </c>
      <c r="C69" s="9">
        <v>46092</v>
      </c>
      <c r="D69" s="2" t="s">
        <v>295</v>
      </c>
      <c r="E69" s="7" t="s">
        <v>296</v>
      </c>
      <c r="G69" t="str">
        <f ca="1">IF(Log_2026[[#This Row],[Date of Complaint:]]="","",IF(Log_2026[[#This Row],[Closed Date:]]&lt;&gt;"","Closed",TODAY()-Log_2026[[#This Row],[Date of Complaint:]]))</f>
        <v>Closed</v>
      </c>
      <c r="H69" t="s">
        <v>137</v>
      </c>
      <c r="I69" s="12" t="s">
        <v>22</v>
      </c>
      <c r="J69" s="12" t="s">
        <v>64</v>
      </c>
      <c r="K69" s="8" t="s">
        <v>73</v>
      </c>
      <c r="M69" s="9">
        <v>46093</v>
      </c>
      <c r="N69" s="9" t="s">
        <v>297</v>
      </c>
      <c r="O69" s="9" t="str">
        <f>_xlfn.XLOOKUP(Log_2026[[#This Row],[Requestor name]], ID_Key[Requestor name], ID_Key[Requestor ID], "")</f>
        <v>RID0055</v>
      </c>
      <c r="P69" t="s">
        <v>298</v>
      </c>
      <c r="S69" s="28">
        <f>IF(OR(Log_2026[[#This Row],[Closed Date:]]="",Log_2026[[#This Row],[Closed Date:]]&lt;Log_2026[[#This Row],[Date of Complaint:]]),"",Log_2026[[#This Row],[Closed Date:]]-Log_2026[[#This Row],[Date of Complaint:]])</f>
        <v>28</v>
      </c>
      <c r="T69" s="12">
        <v>46120</v>
      </c>
      <c r="W69" s="30"/>
      <c r="X69" s="30"/>
    </row>
    <row r="70" spans="1:26" x14ac:dyDescent="0.3">
      <c r="A70" s="6">
        <v>67</v>
      </c>
      <c r="B70" s="8" t="str">
        <f xml:space="preserve"> Log_2026[[#This Row],[Count]] &amp; "-26"</f>
        <v>67-26</v>
      </c>
      <c r="C70" s="9">
        <v>46094</v>
      </c>
      <c r="D70" s="2" t="s">
        <v>299</v>
      </c>
      <c r="E70" s="7" t="s">
        <v>300</v>
      </c>
      <c r="G70">
        <f ca="1">IF(Log_2026[[#This Row],[Date of Complaint:]]="","",IF(Log_2026[[#This Row],[Closed Date:]]&lt;&gt;"","Closed",TODAY()-Log_2026[[#This Row],[Date of Complaint:]]))</f>
        <v>72</v>
      </c>
      <c r="H70" t="s">
        <v>137</v>
      </c>
      <c r="I70" s="12" t="s">
        <v>59</v>
      </c>
      <c r="K70" s="8" t="s">
        <v>11</v>
      </c>
      <c r="M70" s="9">
        <v>46094</v>
      </c>
      <c r="N70" s="9" t="s">
        <v>301</v>
      </c>
      <c r="O70" s="9" t="str">
        <f>_xlfn.XLOOKUP(Log_2026[[#This Row],[Requestor name]], ID_Key[Requestor name], ID_Key[Requestor ID], "")</f>
        <v>RID0056</v>
      </c>
      <c r="P70" t="s">
        <v>302</v>
      </c>
      <c r="S70" s="28" t="str">
        <f>IF(OR(Log_2026[[#This Row],[Closed Date:]]="",Log_2026[[#This Row],[Closed Date:]]&lt;Log_2026[[#This Row],[Date of Complaint:]]),"",Log_2026[[#This Row],[Closed Date:]]-Log_2026[[#This Row],[Date of Complaint:]])</f>
        <v/>
      </c>
      <c r="W70" s="30"/>
      <c r="X70" s="30"/>
    </row>
    <row r="71" spans="1:26" ht="28.8" x14ac:dyDescent="0.3">
      <c r="A71" s="6">
        <v>68</v>
      </c>
      <c r="B71" s="8" t="str">
        <f xml:space="preserve"> Log_2026[[#This Row],[Count]] &amp; "-26"</f>
        <v>68-26</v>
      </c>
      <c r="C71" s="9">
        <v>46094</v>
      </c>
      <c r="D71" s="2" t="s">
        <v>303</v>
      </c>
      <c r="E71" s="7" t="s">
        <v>304</v>
      </c>
      <c r="G71">
        <f ca="1">IF(Log_2026[[#This Row],[Date of Complaint:]]="","",IF(Log_2026[[#This Row],[Closed Date:]]&lt;&gt;"","Closed",TODAY()-Log_2026[[#This Row],[Date of Complaint:]]))</f>
        <v>72</v>
      </c>
      <c r="H71" t="s">
        <v>137</v>
      </c>
      <c r="I71" s="12" t="s">
        <v>59</v>
      </c>
      <c r="K71" s="8" t="s">
        <v>10</v>
      </c>
      <c r="M71" s="9">
        <v>46094</v>
      </c>
      <c r="N71" s="9" t="s">
        <v>97</v>
      </c>
      <c r="O71" s="9" t="str">
        <f>_xlfn.XLOOKUP(Log_2026[[#This Row],[Requestor name]], ID_Key[Requestor name], ID_Key[Requestor ID], "")</f>
        <v>RID0014</v>
      </c>
      <c r="P71" t="s">
        <v>305</v>
      </c>
      <c r="S71" s="28" t="str">
        <f>IF(OR(Log_2026[[#This Row],[Closed Date:]]="",Log_2026[[#This Row],[Closed Date:]]&lt;Log_2026[[#This Row],[Date of Complaint:]]),"",Log_2026[[#This Row],[Closed Date:]]-Log_2026[[#This Row],[Date of Complaint:]])</f>
        <v/>
      </c>
      <c r="W71" s="30"/>
      <c r="X71" s="30"/>
    </row>
    <row r="72" spans="1:26" x14ac:dyDescent="0.3">
      <c r="A72" s="6">
        <v>69</v>
      </c>
      <c r="B72" s="8" t="str">
        <f xml:space="preserve"> Log_2026[[#This Row],[Count]] &amp; "-26"</f>
        <v>69-26</v>
      </c>
      <c r="C72" s="9">
        <v>46093</v>
      </c>
      <c r="D72" s="2" t="s">
        <v>306</v>
      </c>
      <c r="E72" s="7" t="s">
        <v>307</v>
      </c>
      <c r="G72">
        <f ca="1">IF(Log_2026[[#This Row],[Date of Complaint:]]="","",IF(Log_2026[[#This Row],[Closed Date:]]&lt;&gt;"","Closed",TODAY()-Log_2026[[#This Row],[Date of Complaint:]]))</f>
        <v>73</v>
      </c>
      <c r="H72" t="s">
        <v>137</v>
      </c>
      <c r="I72" s="12" t="s">
        <v>59</v>
      </c>
      <c r="K72" s="8" t="s">
        <v>11</v>
      </c>
      <c r="M72" s="9">
        <v>46094</v>
      </c>
      <c r="N72" s="9" t="s">
        <v>308</v>
      </c>
      <c r="O72" s="9" t="str">
        <f>_xlfn.XLOOKUP(Log_2026[[#This Row],[Requestor name]], ID_Key[Requestor name], ID_Key[Requestor ID], "")</f>
        <v>RID0057</v>
      </c>
      <c r="P72" t="s">
        <v>309</v>
      </c>
      <c r="S72" s="28" t="str">
        <f>IF(OR(Log_2026[[#This Row],[Closed Date:]]="",Log_2026[[#This Row],[Closed Date:]]&lt;Log_2026[[#This Row],[Date of Complaint:]]),"",Log_2026[[#This Row],[Closed Date:]]-Log_2026[[#This Row],[Date of Complaint:]])</f>
        <v/>
      </c>
      <c r="W72" s="30"/>
      <c r="X72" s="30"/>
    </row>
    <row r="73" spans="1:26" x14ac:dyDescent="0.3">
      <c r="A73" s="6">
        <v>70</v>
      </c>
      <c r="B73" s="8" t="str">
        <f xml:space="preserve"> Log_2026[[#This Row],[Count]] &amp; "-26"</f>
        <v>70-26</v>
      </c>
      <c r="C73" s="9">
        <v>46094</v>
      </c>
      <c r="D73" s="2" t="s">
        <v>14</v>
      </c>
      <c r="E73" s="7" t="s">
        <v>310</v>
      </c>
      <c r="F73" t="s">
        <v>209</v>
      </c>
      <c r="G73" t="str">
        <f ca="1">IF(Log_2026[[#This Row],[Date of Complaint:]]="","",IF(Log_2026[[#This Row],[Closed Date:]]&lt;&gt;"","Closed",TODAY()-Log_2026[[#This Row],[Date of Complaint:]]))</f>
        <v>Closed</v>
      </c>
      <c r="H73" t="s">
        <v>137</v>
      </c>
      <c r="I73" s="12" t="s">
        <v>22</v>
      </c>
      <c r="J73" s="12" t="s">
        <v>64</v>
      </c>
      <c r="K73" s="8" t="s">
        <v>11</v>
      </c>
      <c r="M73" s="9">
        <v>46094</v>
      </c>
      <c r="N73" s="9" t="s">
        <v>143</v>
      </c>
      <c r="O73" s="9" t="str">
        <f>_xlfn.XLOOKUP(Log_2026[[#This Row],[Requestor name]], ID_Key[Requestor name], ID_Key[Requestor ID], "")</f>
        <v>RID0005</v>
      </c>
      <c r="Q73" s="50">
        <v>46097</v>
      </c>
      <c r="R73" s="10">
        <v>46115</v>
      </c>
      <c r="S73" s="28">
        <f>IF(OR(Log_2026[[#This Row],[Closed Date:]]="",Log_2026[[#This Row],[Closed Date:]]&lt;Log_2026[[#This Row],[Date of Complaint:]]),"",Log_2026[[#This Row],[Closed Date:]]-Log_2026[[#This Row],[Date of Complaint:]])</f>
        <v>4</v>
      </c>
      <c r="T73" s="12">
        <v>46098</v>
      </c>
      <c r="U73" s="28">
        <v>8</v>
      </c>
      <c r="V73" s="29">
        <v>6.3194444444444442E-2</v>
      </c>
      <c r="W73" s="30">
        <v>10</v>
      </c>
      <c r="X73" s="30">
        <v>0</v>
      </c>
      <c r="Y73" s="49">
        <f>Log_2026[[#This Row],[Hours Worked To Date]]</f>
        <v>6.3194444444444442E-2</v>
      </c>
      <c r="Z73" t="s">
        <v>311</v>
      </c>
    </row>
    <row r="74" spans="1:26" x14ac:dyDescent="0.3">
      <c r="A74" s="6">
        <v>71</v>
      </c>
      <c r="B74" s="8" t="str">
        <f xml:space="preserve"> Log_2026[[#This Row],[Count]] &amp; "-26"</f>
        <v>71-26</v>
      </c>
      <c r="C74" s="9">
        <v>46093</v>
      </c>
      <c r="D74" s="2" t="s">
        <v>234</v>
      </c>
      <c r="E74" s="7" t="s">
        <v>249</v>
      </c>
      <c r="G74" t="str">
        <f ca="1">IF(Log_2026[[#This Row],[Date of Complaint:]]="","",IF(Log_2026[[#This Row],[Closed Date:]]&lt;&gt;"","Closed",TODAY()-Log_2026[[#This Row],[Date of Complaint:]]))</f>
        <v>Closed</v>
      </c>
      <c r="H74" t="s">
        <v>28</v>
      </c>
      <c r="I74" s="12" t="s">
        <v>22</v>
      </c>
      <c r="J74" s="12" t="s">
        <v>64</v>
      </c>
      <c r="K74" s="8" t="s">
        <v>117</v>
      </c>
      <c r="M74" s="9">
        <v>46093</v>
      </c>
      <c r="N74" s="9" t="s">
        <v>312</v>
      </c>
      <c r="O74" s="9" t="str">
        <f>_xlfn.XLOOKUP(Log_2026[[#This Row],[Requestor name]], ID_Key[Requestor name], ID_Key[Requestor ID], "")</f>
        <v>RID0058</v>
      </c>
      <c r="S74" s="28">
        <f>IF(OR(Log_2026[[#This Row],[Closed Date:]]="",Log_2026[[#This Row],[Closed Date:]]&lt;Log_2026[[#This Row],[Date of Complaint:]]),"",Log_2026[[#This Row],[Closed Date:]]-Log_2026[[#This Row],[Date of Complaint:]])</f>
        <v>4</v>
      </c>
      <c r="T74" s="12">
        <v>46097</v>
      </c>
      <c r="U74" s="28">
        <v>2</v>
      </c>
      <c r="W74" s="30"/>
      <c r="X74" s="30"/>
    </row>
    <row r="75" spans="1:26" ht="28.8" x14ac:dyDescent="0.3">
      <c r="A75" s="6">
        <v>72</v>
      </c>
      <c r="B75" s="8" t="str">
        <f xml:space="preserve"> Log_2026[[#This Row],[Count]] &amp; "-26"</f>
        <v>72-26</v>
      </c>
      <c r="C75" s="9">
        <v>46098</v>
      </c>
      <c r="D75" s="2" t="s">
        <v>12</v>
      </c>
      <c r="E75" s="7" t="s">
        <v>313</v>
      </c>
      <c r="G75">
        <f ca="1">IF(Log_2026[[#This Row],[Date of Complaint:]]="","",IF(Log_2026[[#This Row],[Closed Date:]]&lt;&gt;"","Closed",TODAY()-Log_2026[[#This Row],[Date of Complaint:]]))</f>
        <v>68</v>
      </c>
      <c r="H75" t="s">
        <v>137</v>
      </c>
      <c r="I75" s="12" t="s">
        <v>59</v>
      </c>
      <c r="K75" s="8" t="s">
        <v>13</v>
      </c>
      <c r="L75" s="1" t="s">
        <v>9</v>
      </c>
      <c r="M75" s="9">
        <v>46098</v>
      </c>
      <c r="N75" s="9" t="s">
        <v>314</v>
      </c>
      <c r="O75" s="9" t="str">
        <f>_xlfn.XLOOKUP(Log_2026[[#This Row],[Requestor name]], ID_Key[Requestor name], ID_Key[Requestor ID], "")</f>
        <v>RID0059</v>
      </c>
      <c r="P75" s="7" t="s">
        <v>315</v>
      </c>
      <c r="Q75" s="52"/>
      <c r="S75" s="28" t="str">
        <f>IF(OR(Log_2026[[#This Row],[Closed Date:]]="",Log_2026[[#This Row],[Closed Date:]]&lt;Log_2026[[#This Row],[Date of Complaint:]]),"",Log_2026[[#This Row],[Closed Date:]]-Log_2026[[#This Row],[Date of Complaint:]])</f>
        <v/>
      </c>
      <c r="W75" s="30"/>
      <c r="X75" s="30"/>
    </row>
    <row r="76" spans="1:26" x14ac:dyDescent="0.3">
      <c r="A76" s="6">
        <v>73</v>
      </c>
      <c r="B76" s="8" t="str">
        <f xml:space="preserve"> Log_2026[[#This Row],[Count]] &amp; "-26"</f>
        <v>73-26</v>
      </c>
      <c r="C76" s="9">
        <v>46098</v>
      </c>
      <c r="D76" s="2" t="s">
        <v>234</v>
      </c>
      <c r="E76" s="7" t="s">
        <v>316</v>
      </c>
      <c r="G76" t="str">
        <f ca="1">IF(Log_2026[[#This Row],[Date of Complaint:]]="","",IF(Log_2026[[#This Row],[Closed Date:]]&lt;&gt;"","Closed",TODAY()-Log_2026[[#This Row],[Date of Complaint:]]))</f>
        <v>Closed</v>
      </c>
      <c r="H76" t="s">
        <v>228</v>
      </c>
      <c r="I76" s="12" t="s">
        <v>22</v>
      </c>
      <c r="J76" s="12" t="s">
        <v>64</v>
      </c>
      <c r="K76" s="8" t="s">
        <v>117</v>
      </c>
      <c r="M76" s="9">
        <v>46098</v>
      </c>
      <c r="N76" s="9" t="s">
        <v>317</v>
      </c>
      <c r="O76" s="9" t="str">
        <f>_xlfn.XLOOKUP(Log_2026[[#This Row],[Requestor name]], ID_Key[Requestor name], ID_Key[Requestor ID], "")</f>
        <v>RID0060</v>
      </c>
      <c r="S76" s="28">
        <f>IF(OR(Log_2026[[#This Row],[Closed Date:]]="",Log_2026[[#This Row],[Closed Date:]]&lt;Log_2026[[#This Row],[Date of Complaint:]]),"",Log_2026[[#This Row],[Closed Date:]]-Log_2026[[#This Row],[Date of Complaint:]])</f>
        <v>0</v>
      </c>
      <c r="T76" s="12">
        <v>46098</v>
      </c>
      <c r="W76" s="30"/>
      <c r="X76" s="30"/>
    </row>
    <row r="77" spans="1:26" ht="28.8" x14ac:dyDescent="0.3">
      <c r="A77" s="6">
        <v>74</v>
      </c>
      <c r="B77" s="8" t="str">
        <f xml:space="preserve"> Log_2026[[#This Row],[Count]] &amp; "-26"</f>
        <v>74-26</v>
      </c>
      <c r="C77" s="9">
        <v>46096</v>
      </c>
      <c r="D77" s="2" t="s">
        <v>14</v>
      </c>
      <c r="E77" s="7" t="s">
        <v>318</v>
      </c>
      <c r="F77" t="s">
        <v>133</v>
      </c>
      <c r="G77" t="str">
        <f ca="1">IF(Log_2026[[#This Row],[Date of Complaint:]]="","",IF(Log_2026[[#This Row],[Closed Date:]]&lt;&gt;"","Closed",TODAY()-Log_2026[[#This Row],[Date of Complaint:]]))</f>
        <v>Closed</v>
      </c>
      <c r="H77" t="s">
        <v>141</v>
      </c>
      <c r="I77" s="12" t="s">
        <v>22</v>
      </c>
      <c r="J77" s="12" t="s">
        <v>219</v>
      </c>
      <c r="K77" s="8" t="s">
        <v>11</v>
      </c>
      <c r="L77" s="1" t="s">
        <v>319</v>
      </c>
      <c r="M77" s="9">
        <v>46099</v>
      </c>
      <c r="N77" s="9" t="s">
        <v>126</v>
      </c>
      <c r="O77" s="9" t="str">
        <f>_xlfn.XLOOKUP(Log_2026[[#This Row],[Requestor name]], ID_Key[Requestor name], ID_Key[Requestor ID], "")</f>
        <v>RID0019</v>
      </c>
      <c r="Q77" s="50">
        <v>46099</v>
      </c>
      <c r="S77" s="28">
        <f>IF(OR(Log_2026[[#This Row],[Closed Date:]]="",Log_2026[[#This Row],[Closed Date:]]&lt;Log_2026[[#This Row],[Date of Complaint:]]),"",Log_2026[[#This Row],[Closed Date:]]-Log_2026[[#This Row],[Date of Complaint:]])</f>
        <v>18</v>
      </c>
      <c r="T77" s="12">
        <v>46114</v>
      </c>
      <c r="U77" s="28">
        <v>101</v>
      </c>
      <c r="V77" s="29">
        <v>0.17499999999999999</v>
      </c>
      <c r="W77" s="30">
        <v>10</v>
      </c>
      <c r="X77" s="30">
        <v>0</v>
      </c>
      <c r="Y77" s="49">
        <f>Log_2026[[#This Row],[Hours Worked To Date]]</f>
        <v>0.17499999999999999</v>
      </c>
      <c r="Z77" t="s">
        <v>320</v>
      </c>
    </row>
    <row r="78" spans="1:26" ht="28.8" x14ac:dyDescent="0.3">
      <c r="A78" s="6">
        <v>75</v>
      </c>
      <c r="B78" s="8" t="str">
        <f xml:space="preserve"> Log_2026[[#This Row],[Count]] &amp; "-26"</f>
        <v>75-26</v>
      </c>
      <c r="C78" s="9">
        <v>46098</v>
      </c>
      <c r="D78" s="2" t="s">
        <v>14</v>
      </c>
      <c r="E78" s="7" t="s">
        <v>321</v>
      </c>
      <c r="F78" t="s">
        <v>125</v>
      </c>
      <c r="G78" t="str">
        <f ca="1">IF(Log_2026[[#This Row],[Date of Complaint:]]="","",IF(Log_2026[[#This Row],[Closed Date:]]&lt;&gt;"","Closed",TODAY()-Log_2026[[#This Row],[Date of Complaint:]]))</f>
        <v>Closed</v>
      </c>
      <c r="H78" t="s">
        <v>137</v>
      </c>
      <c r="I78" s="12" t="s">
        <v>22</v>
      </c>
      <c r="J78" s="12" t="s">
        <v>64</v>
      </c>
      <c r="K78" s="8" t="s">
        <v>11</v>
      </c>
      <c r="L78" s="1" t="s">
        <v>322</v>
      </c>
      <c r="M78" s="9">
        <v>46099</v>
      </c>
      <c r="N78" s="9" t="s">
        <v>126</v>
      </c>
      <c r="O78" s="9" t="str">
        <f>_xlfn.XLOOKUP(Log_2026[[#This Row],[Requestor name]], ID_Key[Requestor name], ID_Key[Requestor ID], "")</f>
        <v>RID0019</v>
      </c>
      <c r="Q78" s="50">
        <v>46099</v>
      </c>
      <c r="S78" s="28">
        <f>IF(OR(Log_2026[[#This Row],[Closed Date:]]="",Log_2026[[#This Row],[Closed Date:]]&lt;Log_2026[[#This Row],[Date of Complaint:]]),"",Log_2026[[#This Row],[Closed Date:]]-Log_2026[[#This Row],[Date of Complaint:]])</f>
        <v>9</v>
      </c>
      <c r="T78" s="12">
        <v>46107</v>
      </c>
      <c r="U78" s="28">
        <v>0</v>
      </c>
      <c r="V78" s="29">
        <v>3.9583333333333331E-2</v>
      </c>
      <c r="W78" s="30">
        <v>0</v>
      </c>
      <c r="X78" s="30">
        <v>0</v>
      </c>
      <c r="Y78" s="49">
        <f>Log_2026[[#This Row],[Hours Worked To Date]]</f>
        <v>3.9583333333333331E-2</v>
      </c>
    </row>
    <row r="79" spans="1:26" x14ac:dyDescent="0.3">
      <c r="A79" s="6">
        <v>76</v>
      </c>
      <c r="B79" s="8" t="str">
        <f xml:space="preserve"> Log_2026[[#This Row],[Count]] &amp; "-26"</f>
        <v>76-26</v>
      </c>
      <c r="C79" s="9">
        <v>46098</v>
      </c>
      <c r="D79" s="2" t="s">
        <v>234</v>
      </c>
      <c r="E79" s="7" t="s">
        <v>234</v>
      </c>
      <c r="F79" t="s">
        <v>105</v>
      </c>
      <c r="G79" t="str">
        <f ca="1">IF(Log_2026[[#This Row],[Date of Complaint:]]="","",IF(Log_2026[[#This Row],[Closed Date:]]&lt;&gt;"","Closed",TODAY()-Log_2026[[#This Row],[Date of Complaint:]]))</f>
        <v>Closed</v>
      </c>
      <c r="H79" t="s">
        <v>228</v>
      </c>
      <c r="I79" s="12" t="s">
        <v>22</v>
      </c>
      <c r="J79" s="12" t="s">
        <v>64</v>
      </c>
      <c r="K79" s="8" t="s">
        <v>117</v>
      </c>
      <c r="M79" s="9">
        <v>46098</v>
      </c>
      <c r="N79" s="9" t="s">
        <v>323</v>
      </c>
      <c r="O79" s="9" t="str">
        <f>_xlfn.XLOOKUP(Log_2026[[#This Row],[Requestor name]], ID_Key[Requestor name], ID_Key[Requestor ID], "")</f>
        <v>RID0061</v>
      </c>
      <c r="S79" s="28">
        <f>IF(OR(Log_2026[[#This Row],[Closed Date:]]="",Log_2026[[#This Row],[Closed Date:]]&lt;Log_2026[[#This Row],[Date of Complaint:]]),"",Log_2026[[#This Row],[Closed Date:]]-Log_2026[[#This Row],[Date of Complaint:]])</f>
        <v>0</v>
      </c>
      <c r="T79" s="12">
        <v>46098</v>
      </c>
      <c r="W79" s="30"/>
      <c r="X79" s="30"/>
    </row>
    <row r="80" spans="1:26" s="31" customFormat="1" ht="28.8" x14ac:dyDescent="0.3">
      <c r="A80" s="6">
        <v>77</v>
      </c>
      <c r="B80" s="8" t="str">
        <f xml:space="preserve"> Log_2026[[#This Row],[Count]] &amp; "-26"</f>
        <v>77-26</v>
      </c>
      <c r="C80" s="9">
        <v>46100</v>
      </c>
      <c r="D80" s="2" t="s">
        <v>324</v>
      </c>
      <c r="E80" s="7" t="s">
        <v>325</v>
      </c>
      <c r="F80"/>
      <c r="G80">
        <f ca="1">IF(Log_2026[[#This Row],[Date of Complaint:]]="","",IF(Log_2026[[#This Row],[Closed Date:]]&lt;&gt;"","Closed",TODAY()-Log_2026[[#This Row],[Date of Complaint:]]))</f>
        <v>66</v>
      </c>
      <c r="H80" t="s">
        <v>137</v>
      </c>
      <c r="I80" s="12" t="s">
        <v>59</v>
      </c>
      <c r="J80" s="12"/>
      <c r="K80" s="8" t="s">
        <v>10</v>
      </c>
      <c r="L80" s="1"/>
      <c r="M80" s="9">
        <v>46100</v>
      </c>
      <c r="N80" s="9" t="s">
        <v>326</v>
      </c>
      <c r="O80" s="9" t="str">
        <f>_xlfn.XLOOKUP(Log_2026[[#This Row],[Requestor name]], ID_Key[Requestor name], ID_Key[Requestor ID], "")</f>
        <v>RID0062</v>
      </c>
      <c r="P80" s="7" t="s">
        <v>327</v>
      </c>
      <c r="Q80" s="52"/>
      <c r="R80" s="10"/>
      <c r="S80" s="28" t="str">
        <f>IF(OR(Log_2026[[#This Row],[Closed Date:]]="",Log_2026[[#This Row],[Closed Date:]]&lt;Log_2026[[#This Row],[Date of Complaint:]]),"",Log_2026[[#This Row],[Closed Date:]]-Log_2026[[#This Row],[Date of Complaint:]])</f>
        <v/>
      </c>
      <c r="T80" s="12"/>
      <c r="U80" s="28"/>
      <c r="V80" s="29"/>
      <c r="W80" s="30"/>
      <c r="X80" s="30"/>
      <c r="Y80" s="49"/>
      <c r="Z80"/>
    </row>
    <row r="81" spans="1:26" x14ac:dyDescent="0.3">
      <c r="A81" s="6">
        <v>78</v>
      </c>
      <c r="B81" s="8" t="str">
        <f xml:space="preserve"> Log_2026[[#This Row],[Count]] &amp; "-26"</f>
        <v>78-26</v>
      </c>
      <c r="C81" s="9">
        <v>46101</v>
      </c>
      <c r="D81" s="2" t="s">
        <v>328</v>
      </c>
      <c r="E81" s="7" t="s">
        <v>329</v>
      </c>
      <c r="G81">
        <f ca="1">IF(Log_2026[[#This Row],[Date of Complaint:]]="","",IF(Log_2026[[#This Row],[Closed Date:]]&lt;&gt;"","Closed",TODAY()-Log_2026[[#This Row],[Date of Complaint:]]))</f>
        <v>65</v>
      </c>
      <c r="H81" t="s">
        <v>137</v>
      </c>
      <c r="I81" s="12" t="s">
        <v>59</v>
      </c>
      <c r="K81" s="8" t="s">
        <v>10</v>
      </c>
      <c r="M81" s="9">
        <v>46101</v>
      </c>
      <c r="N81" s="9" t="s">
        <v>330</v>
      </c>
      <c r="O81" s="9" t="str">
        <f>_xlfn.XLOOKUP(Log_2026[[#This Row],[Requestor name]], ID_Key[Requestor name], ID_Key[Requestor ID], "")</f>
        <v>RID0063</v>
      </c>
      <c r="S81" s="28" t="str">
        <f>IF(OR(Log_2026[[#This Row],[Closed Date:]]="",Log_2026[[#This Row],[Closed Date:]]&lt;Log_2026[[#This Row],[Date of Complaint:]]),"",Log_2026[[#This Row],[Closed Date:]]-Log_2026[[#This Row],[Date of Complaint:]])</f>
        <v/>
      </c>
      <c r="W81" s="30"/>
      <c r="X81" s="30"/>
    </row>
    <row r="82" spans="1:26" x14ac:dyDescent="0.3">
      <c r="A82" s="6">
        <v>79</v>
      </c>
      <c r="B82" s="8" t="str">
        <f xml:space="preserve"> Log_2026[[#This Row],[Count]] &amp; "-26"</f>
        <v>79-26</v>
      </c>
      <c r="C82" s="9">
        <v>46103</v>
      </c>
      <c r="D82" s="2" t="s">
        <v>331</v>
      </c>
      <c r="E82" s="7" t="s">
        <v>325</v>
      </c>
      <c r="G82">
        <f ca="1">IF(Log_2026[[#This Row],[Date of Complaint:]]="","",IF(Log_2026[[#This Row],[Closed Date:]]&lt;&gt;"","Closed",TODAY()-Log_2026[[#This Row],[Date of Complaint:]]))</f>
        <v>63</v>
      </c>
      <c r="H82" t="s">
        <v>137</v>
      </c>
      <c r="I82" s="12" t="s">
        <v>59</v>
      </c>
      <c r="K82" s="8" t="s">
        <v>10</v>
      </c>
      <c r="M82" s="9">
        <v>46104</v>
      </c>
      <c r="N82" s="9" t="s">
        <v>332</v>
      </c>
      <c r="O82" s="9" t="str">
        <f>_xlfn.XLOOKUP(Log_2026[[#This Row],[Requestor name]], ID_Key[Requestor name], ID_Key[Requestor ID], "")</f>
        <v>RID0064</v>
      </c>
      <c r="S82" s="28" t="str">
        <f>IF(OR(Log_2026[[#This Row],[Closed Date:]]="",Log_2026[[#This Row],[Closed Date:]]&lt;Log_2026[[#This Row],[Date of Complaint:]]),"",Log_2026[[#This Row],[Closed Date:]]-Log_2026[[#This Row],[Date of Complaint:]])</f>
        <v/>
      </c>
      <c r="W82" s="30"/>
      <c r="X82" s="30"/>
    </row>
    <row r="83" spans="1:26" x14ac:dyDescent="0.3">
      <c r="A83" s="6">
        <v>80</v>
      </c>
      <c r="B83" s="8" t="str">
        <f xml:space="preserve"> Log_2026[[#This Row],[Count]] &amp; "-26"</f>
        <v>80-26</v>
      </c>
      <c r="C83" s="9">
        <v>46103</v>
      </c>
      <c r="D83" s="2" t="s">
        <v>324</v>
      </c>
      <c r="E83" s="7" t="s">
        <v>325</v>
      </c>
      <c r="G83">
        <f ca="1">IF(Log_2026[[#This Row],[Date of Complaint:]]="","",IF(Log_2026[[#This Row],[Closed Date:]]&lt;&gt;"","Closed",TODAY()-Log_2026[[#This Row],[Date of Complaint:]]))</f>
        <v>63</v>
      </c>
      <c r="H83" t="s">
        <v>137</v>
      </c>
      <c r="I83" s="12" t="s">
        <v>59</v>
      </c>
      <c r="K83" s="8" t="s">
        <v>10</v>
      </c>
      <c r="M83" s="9">
        <v>46104</v>
      </c>
      <c r="N83" s="9" t="s">
        <v>332</v>
      </c>
      <c r="O83" s="9" t="str">
        <f>_xlfn.XLOOKUP(Log_2026[[#This Row],[Requestor name]], ID_Key[Requestor name], ID_Key[Requestor ID], "")</f>
        <v>RID0064</v>
      </c>
      <c r="S83" s="28" t="str">
        <f>IF(OR(Log_2026[[#This Row],[Closed Date:]]="",Log_2026[[#This Row],[Closed Date:]]&lt;Log_2026[[#This Row],[Date of Complaint:]]),"",Log_2026[[#This Row],[Closed Date:]]-Log_2026[[#This Row],[Date of Complaint:]])</f>
        <v/>
      </c>
      <c r="W83" s="30"/>
      <c r="X83" s="30"/>
    </row>
    <row r="84" spans="1:26" x14ac:dyDescent="0.3">
      <c r="A84" s="6">
        <v>81</v>
      </c>
      <c r="B84" s="8" t="str">
        <f xml:space="preserve"> Log_2026[[#This Row],[Count]] &amp; "-26"</f>
        <v>81-26</v>
      </c>
      <c r="C84" s="9">
        <v>46104</v>
      </c>
      <c r="D84" s="2" t="s">
        <v>333</v>
      </c>
      <c r="E84" s="7" t="s">
        <v>334</v>
      </c>
      <c r="G84">
        <f ca="1">IF(Log_2026[[#This Row],[Date of Complaint:]]="","",IF(Log_2026[[#This Row],[Closed Date:]]&lt;&gt;"","Closed",TODAY()-Log_2026[[#This Row],[Date of Complaint:]]))</f>
        <v>62</v>
      </c>
      <c r="H84" t="s">
        <v>137</v>
      </c>
      <c r="I84" s="12" t="s">
        <v>59</v>
      </c>
      <c r="K84" s="8" t="s">
        <v>10</v>
      </c>
      <c r="M84" s="9">
        <v>46104</v>
      </c>
      <c r="N84" s="9" t="s">
        <v>61</v>
      </c>
      <c r="O84" s="9" t="str">
        <f>_xlfn.XLOOKUP(Log_2026[[#This Row],[Requestor name]], ID_Key[Requestor name], ID_Key[Requestor ID], "")</f>
        <v>RID0030</v>
      </c>
      <c r="S84" s="28" t="str">
        <f>IF(OR(Log_2026[[#This Row],[Closed Date:]]="",Log_2026[[#This Row],[Closed Date:]]&lt;Log_2026[[#This Row],[Date of Complaint:]]),"",Log_2026[[#This Row],[Closed Date:]]-Log_2026[[#This Row],[Date of Complaint:]])</f>
        <v/>
      </c>
      <c r="W84" s="30"/>
      <c r="X84" s="30"/>
    </row>
    <row r="85" spans="1:26" x14ac:dyDescent="0.3">
      <c r="A85" s="6">
        <v>82</v>
      </c>
      <c r="B85" s="8" t="str">
        <f xml:space="preserve"> Log_2026[[#This Row],[Count]] &amp; "-26"</f>
        <v>82-26</v>
      </c>
      <c r="C85" s="9">
        <v>46104</v>
      </c>
      <c r="D85" s="2" t="s">
        <v>20</v>
      </c>
      <c r="E85" s="7" t="s">
        <v>335</v>
      </c>
      <c r="G85" t="str">
        <f ca="1">IF(Log_2026[[#This Row],[Date of Complaint:]]="","",IF(Log_2026[[#This Row],[Closed Date:]]&lt;&gt;"","Closed",TODAY()-Log_2026[[#This Row],[Date of Complaint:]]))</f>
        <v>Closed</v>
      </c>
      <c r="H85" t="s">
        <v>277</v>
      </c>
      <c r="I85" s="12" t="s">
        <v>22</v>
      </c>
      <c r="J85" s="12" t="s">
        <v>64</v>
      </c>
      <c r="K85" s="8" t="s">
        <v>9</v>
      </c>
      <c r="M85" s="9">
        <v>46104</v>
      </c>
      <c r="N85" s="9" t="s">
        <v>336</v>
      </c>
      <c r="O85" s="9" t="str">
        <f>_xlfn.XLOOKUP(Log_2026[[#This Row],[Requestor name]], ID_Key[Requestor name], ID_Key[Requestor ID], "")</f>
        <v>RID0065</v>
      </c>
      <c r="S85" s="28">
        <f>IF(OR(Log_2026[[#This Row],[Closed Date:]]="",Log_2026[[#This Row],[Closed Date:]]&lt;Log_2026[[#This Row],[Date of Complaint:]]),"",Log_2026[[#This Row],[Closed Date:]]-Log_2026[[#This Row],[Date of Complaint:]])</f>
        <v>1</v>
      </c>
      <c r="T85" s="12">
        <v>46105</v>
      </c>
      <c r="W85" s="30"/>
      <c r="X85" s="30"/>
    </row>
    <row r="86" spans="1:26" ht="115.2" x14ac:dyDescent="0.3">
      <c r="A86" s="6">
        <v>83</v>
      </c>
      <c r="B86" s="8" t="str">
        <f xml:space="preserve"> Log_2026[[#This Row],[Count]] &amp; "-26"</f>
        <v>83-26</v>
      </c>
      <c r="C86" s="33">
        <v>46104</v>
      </c>
      <c r="D86" s="58" t="s">
        <v>14</v>
      </c>
      <c r="E86" s="56" t="s">
        <v>337</v>
      </c>
      <c r="F86" s="32" t="s">
        <v>133</v>
      </c>
      <c r="G86" s="32" t="str">
        <f ca="1">IF(Log_2026[[#This Row],[Date of Complaint:]]="","",IF(Log_2026[[#This Row],[Closed Date:]]&lt;&gt;"","Closed",TODAY()-Log_2026[[#This Row],[Date of Complaint:]]))</f>
        <v>Closed</v>
      </c>
      <c r="H86" s="32" t="s">
        <v>263</v>
      </c>
      <c r="I86" s="38" t="s">
        <v>22</v>
      </c>
      <c r="J86" s="38" t="s">
        <v>219</v>
      </c>
      <c r="K86" s="34" t="s">
        <v>11</v>
      </c>
      <c r="L86" s="35" t="s">
        <v>319</v>
      </c>
      <c r="M86" s="33">
        <v>46105</v>
      </c>
      <c r="N86" s="33" t="s">
        <v>229</v>
      </c>
      <c r="O86" s="33" t="str">
        <f>_xlfn.XLOOKUP(Log_2026[[#This Row],[Requestor name]], ID_Key[Requestor name], ID_Key[Requestor ID], "")</f>
        <v>RID0003</v>
      </c>
      <c r="P86" s="32"/>
      <c r="Q86" s="50">
        <v>46105</v>
      </c>
      <c r="R86" s="36">
        <v>46129</v>
      </c>
      <c r="S86" s="37">
        <f>IF(OR(Log_2026[[#This Row],[Closed Date:]]="",Log_2026[[#This Row],[Closed Date:]]&lt;Log_2026[[#This Row],[Date of Complaint:]]),"",Log_2026[[#This Row],[Closed Date:]]-Log_2026[[#This Row],[Date of Complaint:]])</f>
        <v>24</v>
      </c>
      <c r="T86" s="38">
        <v>46128</v>
      </c>
      <c r="U86" s="37"/>
      <c r="V86" s="39">
        <v>0.40833333333333333</v>
      </c>
      <c r="W86" s="40">
        <v>10</v>
      </c>
      <c r="X86" s="40">
        <v>0</v>
      </c>
      <c r="Y86" s="49">
        <f>Log_2026[[#This Row],[Hours Worked To Date]]</f>
        <v>0.40833333333333333</v>
      </c>
      <c r="Z86" s="41" t="s">
        <v>338</v>
      </c>
    </row>
    <row r="87" spans="1:26" ht="28.8" x14ac:dyDescent="0.3">
      <c r="A87" s="6">
        <v>84</v>
      </c>
      <c r="B87" s="8" t="str">
        <f xml:space="preserve"> Log_2026[[#This Row],[Count]] &amp; "-26"</f>
        <v>84-26</v>
      </c>
      <c r="C87" s="9">
        <v>46104</v>
      </c>
      <c r="D87" s="2" t="s">
        <v>14</v>
      </c>
      <c r="E87" s="7" t="s">
        <v>339</v>
      </c>
      <c r="F87" t="s">
        <v>340</v>
      </c>
      <c r="G87" s="32" t="str">
        <f ca="1">IF(Log_2026[[#This Row],[Date of Complaint:]]="","",IF(Log_2026[[#This Row],[Closed Date:]]&lt;&gt;"","Closed",TODAY()-Log_2026[[#This Row],[Date of Complaint:]]))</f>
        <v>Closed</v>
      </c>
      <c r="H87" t="s">
        <v>263</v>
      </c>
      <c r="I87" s="12" t="s">
        <v>22</v>
      </c>
      <c r="J87" s="12" t="s">
        <v>64</v>
      </c>
      <c r="K87" s="8" t="s">
        <v>11</v>
      </c>
      <c r="L87" s="1" t="s">
        <v>341</v>
      </c>
      <c r="M87" s="9">
        <v>46105</v>
      </c>
      <c r="N87" s="9" t="s">
        <v>229</v>
      </c>
      <c r="O87" s="9" t="s">
        <v>342</v>
      </c>
      <c r="Q87" s="50">
        <v>46105</v>
      </c>
      <c r="S87" s="28" t="s">
        <v>343</v>
      </c>
      <c r="T87" s="12">
        <v>46107</v>
      </c>
      <c r="U87" s="28">
        <v>0</v>
      </c>
      <c r="V87" s="29">
        <v>2.0833333333333332E-2</v>
      </c>
      <c r="W87" s="30">
        <v>0</v>
      </c>
      <c r="X87" s="30">
        <v>0</v>
      </c>
      <c r="Y87" s="49">
        <f>Log_2026[[#This Row],[Hours Worked To Date]]</f>
        <v>2.0833333333333332E-2</v>
      </c>
    </row>
    <row r="88" spans="1:26" x14ac:dyDescent="0.3">
      <c r="A88" s="6">
        <v>85</v>
      </c>
      <c r="B88" s="8" t="str">
        <f xml:space="preserve"> Log_2026[[#This Row],[Count]] &amp; "-26"</f>
        <v>85-26</v>
      </c>
      <c r="C88" s="9">
        <v>46104</v>
      </c>
      <c r="D88" s="2" t="s">
        <v>234</v>
      </c>
      <c r="E88" s="7" t="s">
        <v>249</v>
      </c>
      <c r="G88" t="str">
        <f ca="1">IF(Log_2026[[#This Row],[Date of Complaint:]]="","",IF(Log_2026[[#This Row],[Closed Date:]]&lt;&gt;"","Closed",TODAY()-Log_2026[[#This Row],[Date of Complaint:]]))</f>
        <v>Closed</v>
      </c>
      <c r="H88" t="s">
        <v>228</v>
      </c>
      <c r="I88" s="12" t="s">
        <v>22</v>
      </c>
      <c r="J88" s="12" t="s">
        <v>64</v>
      </c>
      <c r="K88" s="8" t="s">
        <v>117</v>
      </c>
      <c r="M88" s="9">
        <v>46105</v>
      </c>
      <c r="N88" s="9" t="s">
        <v>344</v>
      </c>
      <c r="O88" s="9" t="str">
        <f>_xlfn.XLOOKUP(Log_2026[[#This Row],[Requestor name]], ID_Key[Requestor name], ID_Key[Requestor ID], "")</f>
        <v>RID0066</v>
      </c>
      <c r="S88" s="28">
        <f>IF(OR(Log_2026[[#This Row],[Closed Date:]]="",Log_2026[[#This Row],[Closed Date:]]&lt;Log_2026[[#This Row],[Date of Complaint:]]),"",Log_2026[[#This Row],[Closed Date:]]-Log_2026[[#This Row],[Date of Complaint:]])</f>
        <v>1</v>
      </c>
      <c r="T88" s="12">
        <v>46105</v>
      </c>
      <c r="W88" s="30"/>
      <c r="X88" s="30"/>
    </row>
    <row r="89" spans="1:26" ht="28.8" x14ac:dyDescent="0.3">
      <c r="A89" s="6">
        <v>86</v>
      </c>
      <c r="B89" s="8" t="str">
        <f xml:space="preserve"> Log_2026[[#This Row],[Count]] &amp; "-26"</f>
        <v>86-26</v>
      </c>
      <c r="C89" s="9">
        <v>46105</v>
      </c>
      <c r="D89" s="2" t="s">
        <v>14</v>
      </c>
      <c r="E89" s="7" t="s">
        <v>345</v>
      </c>
      <c r="F89" t="s">
        <v>133</v>
      </c>
      <c r="G89" t="str">
        <f ca="1">IF(Log_2026[[#This Row],[Date of Complaint:]]="","",IF(Log_2026[[#This Row],[Closed Date:]]&lt;&gt;"","Closed",TODAY()-Log_2026[[#This Row],[Date of Complaint:]]))</f>
        <v>Closed</v>
      </c>
      <c r="H89" t="s">
        <v>137</v>
      </c>
      <c r="I89" s="12" t="s">
        <v>22</v>
      </c>
      <c r="J89" s="12" t="s">
        <v>64</v>
      </c>
      <c r="K89" s="8" t="s">
        <v>11</v>
      </c>
      <c r="L89" s="1" t="s">
        <v>319</v>
      </c>
      <c r="M89" s="9">
        <v>46106</v>
      </c>
      <c r="N89" s="9" t="s">
        <v>346</v>
      </c>
      <c r="O89" s="9" t="str">
        <f>_xlfn.XLOOKUP(Log_2026[[#This Row],[Requestor name]], ID_Key[Requestor name], ID_Key[Requestor ID], "")</f>
        <v>RID0067</v>
      </c>
      <c r="Q89" s="50">
        <v>46106</v>
      </c>
      <c r="S89" s="28">
        <f>IF(OR(Log_2026[[#This Row],[Closed Date:]]="",Log_2026[[#This Row],[Closed Date:]]&lt;Log_2026[[#This Row],[Date of Complaint:]]),"",Log_2026[[#This Row],[Closed Date:]]-Log_2026[[#This Row],[Date of Complaint:]])</f>
        <v>10</v>
      </c>
      <c r="T89" s="12">
        <v>46115</v>
      </c>
      <c r="V89" s="29">
        <v>2.4305555555555556E-2</v>
      </c>
      <c r="W89" s="30">
        <v>0</v>
      </c>
      <c r="X89" s="30">
        <v>0</v>
      </c>
      <c r="Y89" s="49">
        <f>Log_2026[[#This Row],[Hours Worked To Date]]</f>
        <v>2.4305555555555556E-2</v>
      </c>
      <c r="Z89" t="s">
        <v>347</v>
      </c>
    </row>
    <row r="90" spans="1:26" x14ac:dyDescent="0.3">
      <c r="A90" s="6">
        <v>87</v>
      </c>
      <c r="B90" s="8" t="str">
        <f xml:space="preserve"> Log_2026[[#This Row],[Count]] &amp; "-26"</f>
        <v>87-26</v>
      </c>
      <c r="C90" s="9">
        <v>46106</v>
      </c>
      <c r="D90" s="2" t="s">
        <v>348</v>
      </c>
      <c r="E90" s="7" t="s">
        <v>349</v>
      </c>
      <c r="G90">
        <f ca="1">IF(Log_2026[[#This Row],[Date of Complaint:]]="","",IF(Log_2026[[#This Row],[Closed Date:]]&lt;&gt;"","Closed",TODAY()-Log_2026[[#This Row],[Date of Complaint:]]))</f>
        <v>60</v>
      </c>
      <c r="H90" t="s">
        <v>137</v>
      </c>
      <c r="I90" s="12" t="s">
        <v>59</v>
      </c>
      <c r="K90" s="8" t="s">
        <v>9</v>
      </c>
      <c r="M90" s="9">
        <v>46106</v>
      </c>
      <c r="N90" s="9" t="s">
        <v>15</v>
      </c>
      <c r="O90" s="9" t="str">
        <f>_xlfn.XLOOKUP(Log_2026[[#This Row],[Requestor name]], ID_Key[Requestor name], ID_Key[Requestor ID], "")</f>
        <v>RID0050</v>
      </c>
      <c r="R90" s="10">
        <v>46204</v>
      </c>
      <c r="S90" s="28" t="str">
        <f>IF(OR(Log_2026[[#This Row],[Closed Date:]]="",Log_2026[[#This Row],[Closed Date:]]&lt;Log_2026[[#This Row],[Date of Complaint:]]),"",Log_2026[[#This Row],[Closed Date:]]-Log_2026[[#This Row],[Date of Complaint:]])</f>
        <v/>
      </c>
      <c r="W90" s="30"/>
      <c r="X90" s="30"/>
      <c r="Z90" t="s">
        <v>350</v>
      </c>
    </row>
    <row r="91" spans="1:26" ht="86.4" x14ac:dyDescent="0.3">
      <c r="A91" s="6">
        <v>88</v>
      </c>
      <c r="B91" s="8" t="str">
        <f xml:space="preserve"> Log_2026[[#This Row],[Count]] &amp; "-26"</f>
        <v>88-26</v>
      </c>
      <c r="C91" s="9">
        <v>46112</v>
      </c>
      <c r="D91" s="2" t="s">
        <v>14</v>
      </c>
      <c r="E91" s="7" t="s">
        <v>351</v>
      </c>
      <c r="F91" t="s">
        <v>136</v>
      </c>
      <c r="G91">
        <f ca="1">IF(Log_2026[[#This Row],[Date of Complaint:]]="","",IF(Log_2026[[#This Row],[Closed Date:]]&lt;&gt;"","Closed",TODAY()-Log_2026[[#This Row],[Date of Complaint:]]))</f>
        <v>54</v>
      </c>
      <c r="H91" t="s">
        <v>137</v>
      </c>
      <c r="I91" s="12" t="s">
        <v>59</v>
      </c>
      <c r="J91" s="12" t="s">
        <v>216</v>
      </c>
      <c r="K91" s="8" t="s">
        <v>73</v>
      </c>
      <c r="L91" s="1" t="s">
        <v>9</v>
      </c>
      <c r="M91" s="9">
        <v>46113</v>
      </c>
      <c r="N91" s="9" t="s">
        <v>352</v>
      </c>
      <c r="O91" s="9" t="str">
        <f>_xlfn.XLOOKUP(Log_2026[[#This Row],[Requestor name]], ID_Key[Requestor name], ID_Key[Requestor ID], "")</f>
        <v>RID0068</v>
      </c>
      <c r="P91" s="7" t="s">
        <v>353</v>
      </c>
      <c r="Q91" s="50">
        <v>46113</v>
      </c>
      <c r="R91" s="10">
        <v>46161</v>
      </c>
      <c r="S91" s="28" t="str">
        <f>IF(OR(Log_2026[[#This Row],[Closed Date:]]="",Log_2026[[#This Row],[Closed Date:]]&lt;Log_2026[[#This Row],[Date of Complaint:]]),"",Log_2026[[#This Row],[Closed Date:]]-Log_2026[[#This Row],[Date of Complaint:]])</f>
        <v/>
      </c>
      <c r="W91" s="30"/>
      <c r="X91" s="30"/>
      <c r="Y91" s="49">
        <f>Log_2026[[#This Row],[Hours Worked To Date]]</f>
        <v>0</v>
      </c>
      <c r="Z91" t="s">
        <v>354</v>
      </c>
    </row>
    <row r="92" spans="1:26" ht="28.8" x14ac:dyDescent="0.3">
      <c r="A92" s="6">
        <v>89</v>
      </c>
      <c r="B92" s="8" t="str">
        <f xml:space="preserve"> Log_2026[[#This Row],[Count]] &amp; "-26"</f>
        <v>89-26</v>
      </c>
      <c r="C92" s="9">
        <v>46112</v>
      </c>
      <c r="D92" s="2" t="s">
        <v>355</v>
      </c>
      <c r="E92" s="7" t="s">
        <v>356</v>
      </c>
      <c r="G92">
        <f ca="1">IF(Log_2026[[#This Row],[Date of Complaint:]]="","",IF(Log_2026[[#This Row],[Closed Date:]]&lt;&gt;"","Closed",TODAY()-Log_2026[[#This Row],[Date of Complaint:]]))</f>
        <v>54</v>
      </c>
      <c r="H92" t="s">
        <v>258</v>
      </c>
      <c r="I92" s="12" t="s">
        <v>59</v>
      </c>
      <c r="K92" s="8" t="s">
        <v>9</v>
      </c>
      <c r="L92" s="1" t="s">
        <v>117</v>
      </c>
      <c r="M92" s="9">
        <v>46112</v>
      </c>
      <c r="N92" s="9" t="s">
        <v>357</v>
      </c>
      <c r="O92" s="9" t="str">
        <f>_xlfn.XLOOKUP(Log_2026[[#This Row],[Requestor name]], ID_Key[Requestor name], ID_Key[Requestor ID], "")</f>
        <v>RID0069</v>
      </c>
      <c r="P92" s="7"/>
      <c r="Q92" s="50"/>
      <c r="R92" s="10">
        <v>46152</v>
      </c>
      <c r="S92" s="28" t="str">
        <f>IF(OR(Log_2026[[#This Row],[Closed Date:]]="",Log_2026[[#This Row],[Closed Date:]]&lt;Log_2026[[#This Row],[Date of Complaint:]]),"",Log_2026[[#This Row],[Closed Date:]]-Log_2026[[#This Row],[Date of Complaint:]])</f>
        <v/>
      </c>
      <c r="W92" s="30"/>
      <c r="X92" s="30"/>
      <c r="Z92" t="s">
        <v>358</v>
      </c>
    </row>
    <row r="93" spans="1:26" x14ac:dyDescent="0.3">
      <c r="A93" s="6">
        <v>90</v>
      </c>
      <c r="B93" s="8" t="str">
        <f xml:space="preserve"> Log_2026[[#This Row],[Count]] &amp; "-26"</f>
        <v>90-26</v>
      </c>
      <c r="C93" s="9">
        <v>46109</v>
      </c>
      <c r="D93" s="2" t="s">
        <v>14</v>
      </c>
      <c r="E93" s="7" t="s">
        <v>359</v>
      </c>
      <c r="F93" t="s">
        <v>105</v>
      </c>
      <c r="G93" t="str">
        <f ca="1">IF(Log_2026[[#This Row],[Date of Complaint:]]="","",IF(Log_2026[[#This Row],[Closed Date:]]&lt;&gt;"","Closed",TODAY()-Log_2026[[#This Row],[Date of Complaint:]]))</f>
        <v>Closed</v>
      </c>
      <c r="H93" t="s">
        <v>228</v>
      </c>
      <c r="I93" s="12" t="s">
        <v>22</v>
      </c>
      <c r="J93" s="12" t="s">
        <v>64</v>
      </c>
      <c r="K93" s="8" t="s">
        <v>117</v>
      </c>
      <c r="M93" s="9">
        <v>46114</v>
      </c>
      <c r="N93" s="9" t="s">
        <v>360</v>
      </c>
      <c r="O93" s="9" t="str">
        <f>_xlfn.XLOOKUP(Log_2026[[#This Row],[Requestor name]], ID_Key[Requestor name], ID_Key[Requestor ID], "")</f>
        <v>RID0070</v>
      </c>
      <c r="P93" s="7"/>
      <c r="Q93" s="50">
        <v>46114</v>
      </c>
      <c r="S93" s="28">
        <f>IF(OR(Log_2026[[#This Row],[Closed Date:]]="",Log_2026[[#This Row],[Closed Date:]]&lt;Log_2026[[#This Row],[Date of Complaint:]]),"",Log_2026[[#This Row],[Closed Date:]]-Log_2026[[#This Row],[Date of Complaint:]])</f>
        <v>6</v>
      </c>
      <c r="T93" s="12">
        <v>46115</v>
      </c>
      <c r="W93" s="30">
        <v>0</v>
      </c>
      <c r="X93" s="30">
        <v>0</v>
      </c>
      <c r="Y93" s="49">
        <f>Log_2026[[#This Row],[Hours Worked To Date]]</f>
        <v>0</v>
      </c>
    </row>
    <row r="94" spans="1:26" x14ac:dyDescent="0.3">
      <c r="A94" s="6">
        <v>91</v>
      </c>
      <c r="B94" s="8" t="str">
        <f xml:space="preserve"> Log_2026[[#This Row],[Count]] &amp; "-26"</f>
        <v>91-26</v>
      </c>
      <c r="C94" s="9">
        <v>46098</v>
      </c>
      <c r="D94" s="2" t="s">
        <v>14</v>
      </c>
      <c r="E94" s="7" t="s">
        <v>359</v>
      </c>
      <c r="F94" t="s">
        <v>105</v>
      </c>
      <c r="G94" t="str">
        <f ca="1">IF(Log_2026[[#This Row],[Date of Complaint:]]="","",IF(Log_2026[[#This Row],[Closed Date:]]&lt;&gt;"","Closed",TODAY()-Log_2026[[#This Row],[Date of Complaint:]]))</f>
        <v>Closed</v>
      </c>
      <c r="H94" t="s">
        <v>228</v>
      </c>
      <c r="I94" s="12" t="s">
        <v>22</v>
      </c>
      <c r="J94" s="12" t="s">
        <v>64</v>
      </c>
      <c r="K94" s="8" t="s">
        <v>117</v>
      </c>
      <c r="M94" s="9">
        <v>46100</v>
      </c>
      <c r="N94" s="9" t="s">
        <v>360</v>
      </c>
      <c r="O94" s="9" t="str">
        <f>_xlfn.XLOOKUP(Log_2026[[#This Row],[Requestor name]], ID_Key[Requestor name], ID_Key[Requestor ID], "")</f>
        <v>RID0070</v>
      </c>
      <c r="P94" s="7"/>
      <c r="Q94" s="50">
        <v>46100</v>
      </c>
      <c r="S94" s="28">
        <f>IF(OR(Log_2026[[#This Row],[Closed Date:]]="",Log_2026[[#This Row],[Closed Date:]]&lt;Log_2026[[#This Row],[Date of Complaint:]]),"",Log_2026[[#This Row],[Closed Date:]]-Log_2026[[#This Row],[Date of Complaint:]])</f>
        <v>17</v>
      </c>
      <c r="T94" s="12">
        <v>46115</v>
      </c>
      <c r="W94" s="30">
        <v>0</v>
      </c>
      <c r="X94" s="30">
        <v>0</v>
      </c>
      <c r="Y94" s="49">
        <f>Log_2026[[#This Row],[Hours Worked To Date]]</f>
        <v>0</v>
      </c>
    </row>
    <row r="95" spans="1:26" ht="43.2" x14ac:dyDescent="0.3">
      <c r="A95" s="6">
        <v>92</v>
      </c>
      <c r="B95" s="8" t="str">
        <f xml:space="preserve"> Log_2026[[#This Row],[Count]] &amp; "-26"</f>
        <v>92-26</v>
      </c>
      <c r="C95" s="9">
        <v>46116</v>
      </c>
      <c r="D95" s="2" t="s">
        <v>361</v>
      </c>
      <c r="E95" s="7" t="s">
        <v>362</v>
      </c>
      <c r="G95">
        <f ca="1">IF(Log_2026[[#This Row],[Date of Complaint:]]="","",IF(Log_2026[[#This Row],[Closed Date:]]&lt;&gt;"","Closed",TODAY()-Log_2026[[#This Row],[Date of Complaint:]]))</f>
        <v>50</v>
      </c>
      <c r="H95" t="s">
        <v>137</v>
      </c>
      <c r="I95" s="12" t="s">
        <v>59</v>
      </c>
      <c r="K95" s="8" t="s">
        <v>10</v>
      </c>
      <c r="M95" s="9">
        <v>46118</v>
      </c>
      <c r="N95" s="9" t="s">
        <v>363</v>
      </c>
      <c r="O95" s="9" t="str">
        <f>_xlfn.XLOOKUP(Log_2026[[#This Row],[Requestor name]], ID_Key[Requestor name], ID_Key[Requestor ID], "")</f>
        <v>RID0071</v>
      </c>
      <c r="P95" s="7" t="s">
        <v>364</v>
      </c>
      <c r="Q95" s="50"/>
      <c r="S95" s="28" t="str">
        <f>IF(OR(Log_2026[[#This Row],[Closed Date:]]="",Log_2026[[#This Row],[Closed Date:]]&lt;Log_2026[[#This Row],[Date of Complaint:]]),"",Log_2026[[#This Row],[Closed Date:]]-Log_2026[[#This Row],[Date of Complaint:]])</f>
        <v/>
      </c>
      <c r="W95" s="30"/>
      <c r="X95" s="30"/>
    </row>
    <row r="96" spans="1:26" x14ac:dyDescent="0.3">
      <c r="A96" s="6">
        <v>93</v>
      </c>
      <c r="B96" s="8" t="str">
        <f xml:space="preserve"> Log_2026[[#This Row],[Count]] &amp; "-26"</f>
        <v>93-26</v>
      </c>
      <c r="C96" s="9">
        <v>46116</v>
      </c>
      <c r="D96" s="2" t="s">
        <v>14</v>
      </c>
      <c r="E96" s="7" t="s">
        <v>189</v>
      </c>
      <c r="F96" t="s">
        <v>136</v>
      </c>
      <c r="G96" t="str">
        <f ca="1">IF(Log_2026[[#This Row],[Date of Complaint:]]="","",IF(Log_2026[[#This Row],[Closed Date:]]&lt;&gt;"","Closed",TODAY()-Log_2026[[#This Row],[Date of Complaint:]]))</f>
        <v>Closed</v>
      </c>
      <c r="H96" t="s">
        <v>263</v>
      </c>
      <c r="I96" s="12" t="s">
        <v>22</v>
      </c>
      <c r="J96" s="12" t="s">
        <v>264</v>
      </c>
      <c r="K96" s="8" t="s">
        <v>73</v>
      </c>
      <c r="M96" s="9">
        <v>46118</v>
      </c>
      <c r="N96" s="9" t="s">
        <v>365</v>
      </c>
      <c r="O96" s="9" t="str">
        <f>_xlfn.XLOOKUP(Log_2026[[#This Row],[Requestor name]], ID_Key[Requestor name], ID_Key[Requestor ID], "")</f>
        <v>RID0072</v>
      </c>
      <c r="P96" s="7"/>
      <c r="Q96" s="50">
        <v>46118</v>
      </c>
      <c r="S96" s="28">
        <f>IF(OR(Log_2026[[#This Row],[Closed Date:]]="",Log_2026[[#This Row],[Closed Date:]]&lt;Log_2026[[#This Row],[Date of Complaint:]]),"",Log_2026[[#This Row],[Closed Date:]]-Log_2026[[#This Row],[Date of Complaint:]])</f>
        <v>19</v>
      </c>
      <c r="T96" s="12">
        <v>46135</v>
      </c>
      <c r="W96" s="30"/>
      <c r="X96" s="30"/>
      <c r="Y96" s="49">
        <f>Log_2026[[#This Row],[Hours Worked To Date]]</f>
        <v>0</v>
      </c>
      <c r="Z96" t="s">
        <v>366</v>
      </c>
    </row>
    <row r="97" spans="1:26" x14ac:dyDescent="0.3">
      <c r="A97" s="6">
        <v>94</v>
      </c>
      <c r="B97" s="8" t="str">
        <f xml:space="preserve"> Log_2026[[#This Row],[Count]] &amp; "-26"</f>
        <v>94-26</v>
      </c>
      <c r="C97" s="9">
        <v>46116</v>
      </c>
      <c r="D97" s="2" t="s">
        <v>14</v>
      </c>
      <c r="E97" s="7" t="s">
        <v>189</v>
      </c>
      <c r="F97" t="s">
        <v>136</v>
      </c>
      <c r="G97" t="str">
        <f ca="1">IF(Log_2026[[#This Row],[Date of Complaint:]]="","",IF(Log_2026[[#This Row],[Closed Date:]]&lt;&gt;"","Closed",TODAY()-Log_2026[[#This Row],[Date of Complaint:]]))</f>
        <v>Closed</v>
      </c>
      <c r="H97" t="s">
        <v>263</v>
      </c>
      <c r="I97" s="12" t="s">
        <v>22</v>
      </c>
      <c r="J97" s="12" t="s">
        <v>264</v>
      </c>
      <c r="K97" s="8" t="s">
        <v>73</v>
      </c>
      <c r="M97" s="9">
        <v>46118</v>
      </c>
      <c r="N97" s="9" t="s">
        <v>365</v>
      </c>
      <c r="O97" s="9" t="str">
        <f>_xlfn.XLOOKUP(Log_2026[[#This Row],[Requestor name]], ID_Key[Requestor name], ID_Key[Requestor ID], "")</f>
        <v>RID0072</v>
      </c>
      <c r="P97" s="7"/>
      <c r="Q97" s="50">
        <v>46118</v>
      </c>
      <c r="S97" s="28">
        <f>IF(OR(Log_2026[[#This Row],[Closed Date:]]="",Log_2026[[#This Row],[Closed Date:]]&lt;Log_2026[[#This Row],[Date of Complaint:]]),"",Log_2026[[#This Row],[Closed Date:]]-Log_2026[[#This Row],[Date of Complaint:]])</f>
        <v>19</v>
      </c>
      <c r="T97" s="12">
        <v>46135</v>
      </c>
      <c r="W97" s="30"/>
      <c r="X97" s="30"/>
      <c r="Y97" s="49">
        <f>Log_2026[[#This Row],[Hours Worked To Date]]</f>
        <v>0</v>
      </c>
      <c r="Z97" t="s">
        <v>366</v>
      </c>
    </row>
    <row r="98" spans="1:26" x14ac:dyDescent="0.3">
      <c r="A98" s="6">
        <v>95</v>
      </c>
      <c r="B98" s="8" t="str">
        <f xml:space="preserve"> Log_2026[[#This Row],[Count]] &amp; "-26"</f>
        <v>95-26</v>
      </c>
      <c r="C98" s="9">
        <v>46116</v>
      </c>
      <c r="D98" s="2" t="s">
        <v>14</v>
      </c>
      <c r="E98" s="7" t="s">
        <v>189</v>
      </c>
      <c r="F98" t="s">
        <v>136</v>
      </c>
      <c r="G98" t="str">
        <f ca="1">IF(Log_2026[[#This Row],[Date of Complaint:]]="","",IF(Log_2026[[#This Row],[Closed Date:]]&lt;&gt;"","Closed",TODAY()-Log_2026[[#This Row],[Date of Complaint:]]))</f>
        <v>Closed</v>
      </c>
      <c r="H98" t="s">
        <v>277</v>
      </c>
      <c r="I98" s="12" t="s">
        <v>22</v>
      </c>
      <c r="J98" s="12" t="s">
        <v>264</v>
      </c>
      <c r="K98" s="8" t="s">
        <v>9</v>
      </c>
      <c r="M98" s="9">
        <v>46118</v>
      </c>
      <c r="N98" s="9" t="s">
        <v>365</v>
      </c>
      <c r="O98" s="9" t="str">
        <f>_xlfn.XLOOKUP(Log_2026[[#This Row],[Requestor name]], ID_Key[Requestor name], ID_Key[Requestor ID], "")</f>
        <v>RID0072</v>
      </c>
      <c r="P98" s="7"/>
      <c r="Q98" s="50">
        <v>46118</v>
      </c>
      <c r="S98" s="28">
        <f>IF(OR(Log_2026[[#This Row],[Closed Date:]]="",Log_2026[[#This Row],[Closed Date:]]&lt;Log_2026[[#This Row],[Date of Complaint:]]),"",Log_2026[[#This Row],[Closed Date:]]-Log_2026[[#This Row],[Date of Complaint:]])</f>
        <v>19</v>
      </c>
      <c r="T98" s="12">
        <v>46135</v>
      </c>
      <c r="W98" s="30"/>
      <c r="X98" s="30"/>
      <c r="Y98" s="49">
        <f>Log_2026[[#This Row],[Hours Worked To Date]]</f>
        <v>0</v>
      </c>
      <c r="Z98" t="s">
        <v>366</v>
      </c>
    </row>
    <row r="99" spans="1:26" ht="43.2" x14ac:dyDescent="0.3">
      <c r="A99" s="6">
        <v>96</v>
      </c>
      <c r="B99" s="8" t="str">
        <f xml:space="preserve"> Log_2026[[#This Row],[Count]] &amp; "-26"</f>
        <v>96-26</v>
      </c>
      <c r="C99" s="9">
        <v>46119</v>
      </c>
      <c r="D99" s="2" t="s">
        <v>14</v>
      </c>
      <c r="E99" s="7" t="s">
        <v>367</v>
      </c>
      <c r="F99" t="s">
        <v>133</v>
      </c>
      <c r="G99" t="str">
        <f ca="1">IF(Log_2026[[#This Row],[Date of Complaint:]]="","",IF(Log_2026[[#This Row],[Closed Date:]]&lt;&gt;"","Closed",TODAY()-Log_2026[[#This Row],[Date of Complaint:]]))</f>
        <v>Closed</v>
      </c>
      <c r="H99" t="s">
        <v>141</v>
      </c>
      <c r="I99" s="12" t="s">
        <v>22</v>
      </c>
      <c r="J99" s="12" t="s">
        <v>219</v>
      </c>
      <c r="K99" s="8" t="s">
        <v>11</v>
      </c>
      <c r="M99" s="9">
        <v>46119</v>
      </c>
      <c r="N99" s="9" t="s">
        <v>368</v>
      </c>
      <c r="O99" s="9" t="str">
        <f>_xlfn.XLOOKUP(Log_2026[[#This Row],[Requestor name]], ID_Key[Requestor name], ID_Key[Requestor ID], "")</f>
        <v>RID0073</v>
      </c>
      <c r="P99" s="7"/>
      <c r="Q99" s="50">
        <v>46119</v>
      </c>
      <c r="R99" s="10">
        <v>46122</v>
      </c>
      <c r="S99" s="28">
        <f>IF(OR(Log_2026[[#This Row],[Closed Date:]]="",Log_2026[[#This Row],[Closed Date:]]&lt;Log_2026[[#This Row],[Date of Complaint:]]),"",Log_2026[[#This Row],[Closed Date:]]-Log_2026[[#This Row],[Date of Complaint:]])</f>
        <v>7</v>
      </c>
      <c r="T99" s="12">
        <v>46126</v>
      </c>
      <c r="V99" s="29">
        <v>2.9166666666666667E-2</v>
      </c>
      <c r="W99" s="30">
        <v>2.5</v>
      </c>
      <c r="X99" s="30">
        <v>0</v>
      </c>
      <c r="Y99" s="49">
        <f>Log_2026[[#This Row],[Hours Worked To Date]]</f>
        <v>2.9166666666666667E-2</v>
      </c>
    </row>
    <row r="100" spans="1:26" x14ac:dyDescent="0.3">
      <c r="A100" s="6">
        <v>97</v>
      </c>
      <c r="B100" s="8" t="str">
        <f xml:space="preserve"> Log_2026[[#This Row],[Count]] &amp; "-26"</f>
        <v>97-26</v>
      </c>
      <c r="C100" s="9">
        <v>46119</v>
      </c>
      <c r="D100" s="2" t="s">
        <v>328</v>
      </c>
      <c r="E100" s="7" t="s">
        <v>369</v>
      </c>
      <c r="G100">
        <f ca="1">IF(Log_2026[[#This Row],[Date of Complaint:]]="","",IF(Log_2026[[#This Row],[Closed Date:]]&lt;&gt;"","Closed",TODAY()-Log_2026[[#This Row],[Date of Complaint:]]))</f>
        <v>47</v>
      </c>
      <c r="H100" t="s">
        <v>137</v>
      </c>
      <c r="I100" s="12" t="s">
        <v>59</v>
      </c>
      <c r="K100" s="8" t="s">
        <v>10</v>
      </c>
      <c r="M100" s="9">
        <v>46119</v>
      </c>
      <c r="N100" s="9" t="s">
        <v>330</v>
      </c>
      <c r="O100" s="9" t="str">
        <f>_xlfn.XLOOKUP(Log_2026[[#This Row],[Requestor name]], ID_Key[Requestor name], ID_Key[Requestor ID], "")</f>
        <v>RID0063</v>
      </c>
      <c r="P100" s="7"/>
      <c r="Q100" s="50"/>
      <c r="S100" s="28" t="str">
        <f>IF(OR(Log_2026[[#This Row],[Closed Date:]]="",Log_2026[[#This Row],[Closed Date:]]&lt;Log_2026[[#This Row],[Date of Complaint:]]),"",Log_2026[[#This Row],[Closed Date:]]-Log_2026[[#This Row],[Date of Complaint:]])</f>
        <v/>
      </c>
      <c r="W100" s="30"/>
      <c r="X100" s="30"/>
    </row>
    <row r="101" spans="1:26" x14ac:dyDescent="0.3">
      <c r="A101" s="6" cm="1">
        <f t="array" ref="A101">ROW()-ROW(Log_2026[#Headers])</f>
        <v>98</v>
      </c>
      <c r="B101" s="8" t="str">
        <f xml:space="preserve"> Log_2026[[#This Row],[Count]] &amp; "-26"</f>
        <v>98-26</v>
      </c>
      <c r="C101" s="9">
        <v>46120</v>
      </c>
      <c r="D101" s="2" t="s">
        <v>19</v>
      </c>
      <c r="E101" s="7" t="s">
        <v>370</v>
      </c>
      <c r="G101">
        <f ca="1">IF(Log_2026[[#This Row],[Date of Complaint:]]="","",IF(Log_2026[[#This Row],[Closed Date:]]&lt;&gt;"","Closed",TODAY()-Log_2026[[#This Row],[Date of Complaint:]]))</f>
        <v>46</v>
      </c>
      <c r="H101" t="s">
        <v>137</v>
      </c>
      <c r="I101" s="12" t="s">
        <v>59</v>
      </c>
      <c r="K101" s="8" t="s">
        <v>9</v>
      </c>
      <c r="M101" s="9">
        <v>46122</v>
      </c>
      <c r="N101" s="9" t="s">
        <v>15</v>
      </c>
      <c r="O101" s="9" t="str">
        <f>_xlfn.XLOOKUP(Log_2026[[#This Row],[Requestor name]], ID_Key[Requestor name], ID_Key[Requestor ID], "")</f>
        <v>RID0050</v>
      </c>
      <c r="P101" s="7"/>
      <c r="Q101" s="50"/>
      <c r="S101" s="28" t="str">
        <f>IF(OR(Log_2026[[#This Row],[Closed Date:]]="",Log_2026[[#This Row],[Closed Date:]]&lt;Log_2026[[#This Row],[Date of Complaint:]]),"",Log_2026[[#This Row],[Closed Date:]]-Log_2026[[#This Row],[Date of Complaint:]])</f>
        <v/>
      </c>
      <c r="W101" s="30"/>
      <c r="X101" s="30"/>
      <c r="Z101" t="s">
        <v>371</v>
      </c>
    </row>
    <row r="102" spans="1:26" x14ac:dyDescent="0.3">
      <c r="A102" s="6" cm="1">
        <f t="array" ref="A102">ROW()-ROW(Log_2026[#Headers])</f>
        <v>99</v>
      </c>
      <c r="B102" s="8" t="str">
        <f xml:space="preserve"> Log_2026[[#This Row],[Count]] &amp; "-26"</f>
        <v>99-26</v>
      </c>
      <c r="C102" s="9">
        <v>46122</v>
      </c>
      <c r="D102" s="2" t="s">
        <v>348</v>
      </c>
      <c r="E102" s="7" t="s">
        <v>372</v>
      </c>
      <c r="G102" t="str">
        <f ca="1">IF(Log_2026[[#This Row],[Date of Complaint:]]="","",IF(Log_2026[[#This Row],[Closed Date:]]&lt;&gt;"","Closed",TODAY()-Log_2026[[#This Row],[Date of Complaint:]]))</f>
        <v>Closed</v>
      </c>
      <c r="H102" t="s">
        <v>373</v>
      </c>
      <c r="I102" s="12" t="s">
        <v>22</v>
      </c>
      <c r="K102" s="8" t="s">
        <v>9</v>
      </c>
      <c r="M102" s="9">
        <v>46122</v>
      </c>
      <c r="N102" s="9" t="s">
        <v>374</v>
      </c>
      <c r="O102" s="9" t="str">
        <f>_xlfn.XLOOKUP(Log_2026[[#This Row],[Requestor name]], ID_Key[Requestor name], ID_Key[Requestor ID], "")</f>
        <v>RID0074</v>
      </c>
      <c r="P102" s="7"/>
      <c r="Q102" s="50"/>
      <c r="S102" s="28">
        <f>IF(OR(Log_2026[[#This Row],[Closed Date:]]="",Log_2026[[#This Row],[Closed Date:]]&lt;Log_2026[[#This Row],[Date of Complaint:]]),"",Log_2026[[#This Row],[Closed Date:]]-Log_2026[[#This Row],[Date of Complaint:]])</f>
        <v>5</v>
      </c>
      <c r="T102" s="12">
        <v>46127</v>
      </c>
      <c r="W102" s="30"/>
      <c r="X102" s="30"/>
    </row>
    <row r="103" spans="1:26" ht="28.8" x14ac:dyDescent="0.3">
      <c r="A103" s="6" cm="1">
        <f t="array" ref="A103">ROW()-ROW(Log_2026[#Headers])</f>
        <v>100</v>
      </c>
      <c r="B103" s="8" t="str">
        <f xml:space="preserve"> Log_2026[[#This Row],[Count]] &amp; "-26"</f>
        <v>100-26</v>
      </c>
      <c r="C103" s="9">
        <v>46122</v>
      </c>
      <c r="D103" s="2" t="s">
        <v>14</v>
      </c>
      <c r="E103" s="7" t="s">
        <v>375</v>
      </c>
      <c r="F103" t="s">
        <v>125</v>
      </c>
      <c r="G103" t="str">
        <f ca="1">IF(Log_2026[[#This Row],[Date of Complaint:]]="","",IF(Log_2026[[#This Row],[Closed Date:]]&lt;&gt;"","Closed",TODAY()-Log_2026[[#This Row],[Date of Complaint:]]))</f>
        <v>Closed</v>
      </c>
      <c r="H103" t="s">
        <v>137</v>
      </c>
      <c r="I103" s="12" t="s">
        <v>22</v>
      </c>
      <c r="J103" s="12" t="s">
        <v>64</v>
      </c>
      <c r="K103" s="8" t="s">
        <v>117</v>
      </c>
      <c r="M103" s="9">
        <v>46125</v>
      </c>
      <c r="N103" s="9" t="s">
        <v>376</v>
      </c>
      <c r="O103" s="9" t="str">
        <f>_xlfn.XLOOKUP(Log_2026[[#This Row],[Requestor name]], ID_Key[Requestor name], ID_Key[Requestor ID], "")</f>
        <v>RID0075</v>
      </c>
      <c r="P103" s="7"/>
      <c r="Q103" s="50">
        <v>46126</v>
      </c>
      <c r="S103" s="28">
        <f>IF(OR(Log_2026[[#This Row],[Closed Date:]]="",Log_2026[[#This Row],[Closed Date:]]&lt;Log_2026[[#This Row],[Date of Complaint:]]),"",Log_2026[[#This Row],[Closed Date:]]-Log_2026[[#This Row],[Date of Complaint:]])</f>
        <v>7</v>
      </c>
      <c r="T103" s="12">
        <v>46129</v>
      </c>
      <c r="W103" s="30">
        <v>0</v>
      </c>
      <c r="X103" s="30">
        <v>0</v>
      </c>
      <c r="Y103" s="49">
        <f>Log_2026[[#This Row],[Hours Worked To Date]]</f>
        <v>0</v>
      </c>
      <c r="Z103" t="s">
        <v>377</v>
      </c>
    </row>
    <row r="104" spans="1:26" x14ac:dyDescent="0.3">
      <c r="A104" s="6" cm="1">
        <f t="array" ref="A104">ROW()-ROW(Log_2026[#Headers])</f>
        <v>101</v>
      </c>
      <c r="B104" s="8" t="str">
        <f xml:space="preserve"> Log_2026[[#This Row],[Count]] &amp; "-26"</f>
        <v>101-26</v>
      </c>
      <c r="C104" s="9">
        <v>46122</v>
      </c>
      <c r="D104" s="2" t="s">
        <v>378</v>
      </c>
      <c r="E104" s="7" t="s">
        <v>379</v>
      </c>
      <c r="G104">
        <f ca="1">IF(Log_2026[[#This Row],[Date of Complaint:]]="","",IF(Log_2026[[#This Row],[Closed Date:]]&lt;&gt;"","Closed",TODAY()-Log_2026[[#This Row],[Date of Complaint:]]))</f>
        <v>44</v>
      </c>
      <c r="H104" t="s">
        <v>137</v>
      </c>
      <c r="I104" s="12" t="s">
        <v>59</v>
      </c>
      <c r="K104" s="8" t="s">
        <v>10</v>
      </c>
      <c r="M104" s="9">
        <v>46125</v>
      </c>
      <c r="N104" s="9" t="s">
        <v>15</v>
      </c>
      <c r="O104" s="9" t="str">
        <f>_xlfn.XLOOKUP(Log_2026[[#This Row],[Requestor name]], ID_Key[Requestor name], ID_Key[Requestor ID], "")</f>
        <v>RID0050</v>
      </c>
      <c r="P104" s="7"/>
      <c r="Q104" s="50"/>
      <c r="S104" s="28" t="str">
        <f>IF(OR(Log_2026[[#This Row],[Closed Date:]]="",Log_2026[[#This Row],[Closed Date:]]&lt;Log_2026[[#This Row],[Date of Complaint:]]),"",Log_2026[[#This Row],[Closed Date:]]-Log_2026[[#This Row],[Date of Complaint:]])</f>
        <v/>
      </c>
      <c r="W104" s="30"/>
      <c r="X104" s="30"/>
    </row>
    <row r="105" spans="1:26" x14ac:dyDescent="0.3">
      <c r="A105" s="6" cm="1">
        <f t="array" ref="A105">ROW()-ROW(Log_2026[#Headers])</f>
        <v>102</v>
      </c>
      <c r="B105" s="8" t="str">
        <f xml:space="preserve"> Log_2026[[#This Row],[Count]] &amp; "-26"</f>
        <v>102-26</v>
      </c>
      <c r="C105" s="9">
        <v>46125</v>
      </c>
      <c r="D105" s="2" t="s">
        <v>23</v>
      </c>
      <c r="E105" s="7" t="s">
        <v>380</v>
      </c>
      <c r="G105">
        <f ca="1">IF(Log_2026[[#This Row],[Date of Complaint:]]="","",IF(Log_2026[[#This Row],[Closed Date:]]&lt;&gt;"","Closed",TODAY()-Log_2026[[#This Row],[Date of Complaint:]]))</f>
        <v>41</v>
      </c>
      <c r="H105" t="s">
        <v>137</v>
      </c>
      <c r="I105" s="12" t="s">
        <v>59</v>
      </c>
      <c r="K105" s="8" t="s">
        <v>10</v>
      </c>
      <c r="M105" s="9">
        <v>46125</v>
      </c>
      <c r="N105" s="9" t="s">
        <v>61</v>
      </c>
      <c r="O105" s="9" t="str">
        <f>_xlfn.XLOOKUP(Log_2026[[#This Row],[Requestor name]], ID_Key[Requestor name], ID_Key[Requestor ID], "")</f>
        <v>RID0030</v>
      </c>
      <c r="P105" s="7"/>
      <c r="Q105" s="50"/>
      <c r="S105" s="28" t="str">
        <f>IF(OR(Log_2026[[#This Row],[Closed Date:]]="",Log_2026[[#This Row],[Closed Date:]]&lt;Log_2026[[#This Row],[Date of Complaint:]]),"",Log_2026[[#This Row],[Closed Date:]]-Log_2026[[#This Row],[Date of Complaint:]])</f>
        <v/>
      </c>
      <c r="W105" s="30"/>
      <c r="X105" s="30"/>
    </row>
    <row r="106" spans="1:26" x14ac:dyDescent="0.3">
      <c r="A106" s="6" cm="1">
        <f t="array" ref="A106">ROW()-ROW(Log_2026[#Headers])</f>
        <v>103</v>
      </c>
      <c r="B106" s="8" t="str">
        <f xml:space="preserve"> Log_2026[[#This Row],[Count]] &amp; "-26"</f>
        <v>103-26</v>
      </c>
      <c r="C106" s="9">
        <v>46125</v>
      </c>
      <c r="D106" s="2" t="s">
        <v>381</v>
      </c>
      <c r="E106" s="7" t="s">
        <v>82</v>
      </c>
      <c r="G106">
        <f ca="1">IF(Log_2026[[#This Row],[Date of Complaint:]]="","",IF(Log_2026[[#This Row],[Closed Date:]]&lt;&gt;"","Closed",TODAY()-Log_2026[[#This Row],[Date of Complaint:]]))</f>
        <v>41</v>
      </c>
      <c r="H106" t="s">
        <v>137</v>
      </c>
      <c r="I106" s="12" t="s">
        <v>59</v>
      </c>
      <c r="K106" s="8" t="s">
        <v>10</v>
      </c>
      <c r="M106" s="9">
        <v>46125</v>
      </c>
      <c r="N106" s="9" t="s">
        <v>382</v>
      </c>
      <c r="O106" s="9" t="str">
        <f>_xlfn.XLOOKUP(Log_2026[[#This Row],[Requestor name]], ID_Key[Requestor name], ID_Key[Requestor ID], "")</f>
        <v>RID0076</v>
      </c>
      <c r="P106" s="7"/>
      <c r="Q106" s="50"/>
      <c r="S106" s="28" t="str">
        <f>IF(OR(Log_2026[[#This Row],[Closed Date:]]="",Log_2026[[#This Row],[Closed Date:]]&lt;Log_2026[[#This Row],[Date of Complaint:]]),"",Log_2026[[#This Row],[Closed Date:]]-Log_2026[[#This Row],[Date of Complaint:]])</f>
        <v/>
      </c>
      <c r="W106" s="30"/>
      <c r="X106" s="30"/>
    </row>
    <row r="107" spans="1:26" x14ac:dyDescent="0.3">
      <c r="A107" s="6" cm="1">
        <f t="array" ref="A107">ROW()-ROW(Log_2026[#Headers])</f>
        <v>104</v>
      </c>
      <c r="B107" s="8" t="str">
        <f xml:space="preserve"> Log_2026[[#This Row],[Count]] &amp; "-26"</f>
        <v>104-26</v>
      </c>
      <c r="C107" s="9">
        <v>46124</v>
      </c>
      <c r="D107" s="2" t="s">
        <v>383</v>
      </c>
      <c r="E107" s="7" t="s">
        <v>384</v>
      </c>
      <c r="G107">
        <f ca="1">IF(Log_2026[[#This Row],[Date of Complaint:]]="","",IF(Log_2026[[#This Row],[Closed Date:]]&lt;&gt;"","Closed",TODAY()-Log_2026[[#This Row],[Date of Complaint:]]))</f>
        <v>42</v>
      </c>
      <c r="H107" t="s">
        <v>137</v>
      </c>
      <c r="I107" s="12" t="s">
        <v>59</v>
      </c>
      <c r="K107" s="8" t="s">
        <v>13</v>
      </c>
      <c r="L107" s="1" t="s">
        <v>9</v>
      </c>
      <c r="M107" s="9">
        <v>46125</v>
      </c>
      <c r="N107" s="9" t="s">
        <v>15</v>
      </c>
      <c r="O107" s="9" t="str">
        <f>_xlfn.XLOOKUP(Log_2026[[#This Row],[Requestor name]], ID_Key[Requestor name], ID_Key[Requestor ID], "")</f>
        <v>RID0050</v>
      </c>
      <c r="P107" s="7"/>
      <c r="Q107" s="50"/>
      <c r="S107" s="28" t="str">
        <f>IF(OR(Log_2026[[#This Row],[Closed Date:]]="",Log_2026[[#This Row],[Closed Date:]]&lt;Log_2026[[#This Row],[Date of Complaint:]]),"",Log_2026[[#This Row],[Closed Date:]]-Log_2026[[#This Row],[Date of Complaint:]])</f>
        <v/>
      </c>
      <c r="W107" s="30"/>
      <c r="X107" s="30"/>
    </row>
    <row r="108" spans="1:26" x14ac:dyDescent="0.3">
      <c r="A108" s="6" cm="1">
        <f t="array" ref="A108">ROW()-ROW(Log_2026[#Headers])</f>
        <v>105</v>
      </c>
      <c r="B108" s="8" t="str">
        <f xml:space="preserve"> Log_2026[[#This Row],[Count]] &amp; "-26"</f>
        <v>105-26</v>
      </c>
      <c r="C108" s="9">
        <v>46114</v>
      </c>
      <c r="D108" s="2" t="s">
        <v>385</v>
      </c>
      <c r="E108" s="7" t="s">
        <v>386</v>
      </c>
      <c r="G108">
        <f ca="1">IF(Log_2026[[#This Row],[Date of Complaint:]]="","",IF(Log_2026[[#This Row],[Closed Date:]]&lt;&gt;"","Closed",TODAY()-Log_2026[[#This Row],[Date of Complaint:]]))</f>
        <v>52</v>
      </c>
      <c r="H108" t="s">
        <v>258</v>
      </c>
      <c r="I108" s="12" t="s">
        <v>59</v>
      </c>
      <c r="K108" s="8" t="s">
        <v>9</v>
      </c>
      <c r="M108" s="9">
        <v>46114</v>
      </c>
      <c r="N108" s="9" t="s">
        <v>15</v>
      </c>
      <c r="O108" s="9" t="str">
        <f>_xlfn.XLOOKUP(Log_2026[[#This Row],[Requestor name]], ID_Key[Requestor name], ID_Key[Requestor ID], "")</f>
        <v>RID0050</v>
      </c>
      <c r="P108" s="7"/>
      <c r="Q108" s="50"/>
      <c r="S108" s="28" t="str">
        <f>IF(OR(Log_2026[[#This Row],[Closed Date:]]="",Log_2026[[#This Row],[Closed Date:]]&lt;Log_2026[[#This Row],[Date of Complaint:]]),"",Log_2026[[#This Row],[Closed Date:]]-Log_2026[[#This Row],[Date of Complaint:]])</f>
        <v/>
      </c>
      <c r="W108" s="30"/>
      <c r="X108" s="30"/>
      <c r="Z108" t="s">
        <v>387</v>
      </c>
    </row>
    <row r="109" spans="1:26" x14ac:dyDescent="0.3">
      <c r="A109" s="6" cm="1">
        <f t="array" ref="A109">ROW()-ROW(Log_2026[#Headers])</f>
        <v>106</v>
      </c>
      <c r="B109" s="8" t="str">
        <f xml:space="preserve"> Log_2026[[#This Row],[Count]] &amp; "-26"</f>
        <v>106-26</v>
      </c>
      <c r="C109" s="9">
        <v>46127</v>
      </c>
      <c r="D109" s="2" t="s">
        <v>388</v>
      </c>
      <c r="E109" s="7" t="s">
        <v>389</v>
      </c>
      <c r="G109" t="str">
        <f ca="1">IF(Log_2026[[#This Row],[Date of Complaint:]]="","",IF(Log_2026[[#This Row],[Closed Date:]]&lt;&gt;"","Closed",TODAY()-Log_2026[[#This Row],[Date of Complaint:]]))</f>
        <v>Closed</v>
      </c>
      <c r="H109" t="s">
        <v>137</v>
      </c>
      <c r="I109" s="12" t="s">
        <v>22</v>
      </c>
      <c r="K109" s="8" t="s">
        <v>9</v>
      </c>
      <c r="M109" s="9">
        <v>46129</v>
      </c>
      <c r="N109" s="9" t="s">
        <v>390</v>
      </c>
      <c r="O109" s="9" t="str">
        <f>_xlfn.XLOOKUP(Log_2026[[#This Row],[Requestor name]], ID_Key[Requestor name], ID_Key[Requestor ID], "")</f>
        <v>RID0077</v>
      </c>
      <c r="P109" s="7"/>
      <c r="Q109" s="50"/>
      <c r="S109" s="28">
        <f>IF(OR(Log_2026[[#This Row],[Closed Date:]]="",Log_2026[[#This Row],[Closed Date:]]&lt;Log_2026[[#This Row],[Date of Complaint:]]),"",Log_2026[[#This Row],[Closed Date:]]-Log_2026[[#This Row],[Date of Complaint:]])</f>
        <v>35</v>
      </c>
      <c r="T109" s="12">
        <v>46162</v>
      </c>
      <c r="W109" s="30"/>
      <c r="X109" s="30"/>
      <c r="Y109" s="59"/>
      <c r="Z109" t="s">
        <v>391</v>
      </c>
    </row>
    <row r="110" spans="1:26" x14ac:dyDescent="0.3">
      <c r="A110" s="6" cm="1">
        <f t="array" ref="A110">ROW()-ROW(Log_2026[#Headers])</f>
        <v>107</v>
      </c>
      <c r="B110" s="8" t="str">
        <f xml:space="preserve"> Log_2026[[#This Row],[Count]] &amp; "-26"</f>
        <v>107-26</v>
      </c>
      <c r="C110" s="9">
        <v>46127</v>
      </c>
      <c r="D110" s="2" t="s">
        <v>392</v>
      </c>
      <c r="E110" s="7" t="s">
        <v>393</v>
      </c>
      <c r="G110" t="str">
        <f ca="1">IF(Log_2026[[#This Row],[Date of Complaint:]]="","",IF(Log_2026[[#This Row],[Closed Date:]]&lt;&gt;"","Closed",TODAY()-Log_2026[[#This Row],[Date of Complaint:]]))</f>
        <v>Closed</v>
      </c>
      <c r="H110" t="s">
        <v>141</v>
      </c>
      <c r="I110" s="12" t="s">
        <v>22</v>
      </c>
      <c r="K110" s="8" t="s">
        <v>10</v>
      </c>
      <c r="M110" s="9">
        <v>46129</v>
      </c>
      <c r="N110" s="9" t="s">
        <v>394</v>
      </c>
      <c r="O110" s="9" t="str">
        <f>_xlfn.XLOOKUP(Log_2026[[#This Row],[Requestor name]], ID_Key[Requestor name], ID_Key[Requestor ID], "")</f>
        <v>RID0078</v>
      </c>
      <c r="P110" s="7" t="s">
        <v>395</v>
      </c>
      <c r="Q110" s="50"/>
      <c r="S110" s="28">
        <f>IF(OR(Log_2026[[#This Row],[Closed Date:]]="",Log_2026[[#This Row],[Closed Date:]]&lt;Log_2026[[#This Row],[Date of Complaint:]]),"",Log_2026[[#This Row],[Closed Date:]]-Log_2026[[#This Row],[Date of Complaint:]])</f>
        <v>6</v>
      </c>
      <c r="T110" s="12">
        <v>46133</v>
      </c>
      <c r="W110" s="30"/>
      <c r="X110" s="30"/>
      <c r="Y110" s="59"/>
    </row>
    <row r="111" spans="1:26" x14ac:dyDescent="0.3">
      <c r="A111" s="6" cm="1">
        <f t="array" ref="A111">ROW()-ROW(Log_2026[#Headers])</f>
        <v>108</v>
      </c>
      <c r="B111" s="8" t="str">
        <f xml:space="preserve"> Log_2026[[#This Row],[Count]] &amp; "-26"</f>
        <v>108-26</v>
      </c>
      <c r="C111" s="9">
        <v>46128</v>
      </c>
      <c r="D111" s="2" t="s">
        <v>396</v>
      </c>
      <c r="E111" s="7" t="s">
        <v>397</v>
      </c>
      <c r="G111">
        <f ca="1">IF(Log_2026[[#This Row],[Date of Complaint:]]="","",IF(Log_2026[[#This Row],[Closed Date:]]&lt;&gt;"","Closed",TODAY()-Log_2026[[#This Row],[Date of Complaint:]]))</f>
        <v>38</v>
      </c>
      <c r="H111" t="s">
        <v>137</v>
      </c>
      <c r="I111" s="12" t="s">
        <v>22</v>
      </c>
      <c r="K111" s="8" t="s">
        <v>9</v>
      </c>
      <c r="L111" s="1" t="s">
        <v>73</v>
      </c>
      <c r="M111" s="9">
        <v>46129</v>
      </c>
      <c r="N111" s="9" t="s">
        <v>398</v>
      </c>
      <c r="O111" s="9" t="str">
        <f>_xlfn.XLOOKUP(Log_2026[[#This Row],[Requestor name]], ID_Key[Requestor name], ID_Key[Requestor ID], "")</f>
        <v>RID0079</v>
      </c>
      <c r="P111" s="7" t="s">
        <v>399</v>
      </c>
      <c r="Q111" s="50"/>
      <c r="S111" s="28" t="str">
        <f>IF(OR(Log_2026[[#This Row],[Closed Date:]]="",Log_2026[[#This Row],[Closed Date:]]&lt;Log_2026[[#This Row],[Date of Complaint:]]),"",Log_2026[[#This Row],[Closed Date:]]-Log_2026[[#This Row],[Date of Complaint:]])</f>
        <v/>
      </c>
      <c r="W111" s="30"/>
      <c r="X111" s="30"/>
      <c r="Y111" s="59"/>
      <c r="Z111" t="s">
        <v>400</v>
      </c>
    </row>
    <row r="112" spans="1:26" ht="28.8" x14ac:dyDescent="0.3">
      <c r="A112" s="6" cm="1">
        <f t="array" ref="A112">ROW()-ROW(Log_2026[#Headers])</f>
        <v>109</v>
      </c>
      <c r="B112" s="8" t="str">
        <f xml:space="preserve"> Log_2026[[#This Row],[Count]] &amp; "-26"</f>
        <v>109-26</v>
      </c>
      <c r="C112" s="9">
        <v>46129</v>
      </c>
      <c r="D112" s="2" t="s">
        <v>14</v>
      </c>
      <c r="E112" s="7" t="s">
        <v>401</v>
      </c>
      <c r="F112" t="s">
        <v>136</v>
      </c>
      <c r="G112" t="str">
        <f ca="1">IF(Log_2026[[#This Row],[Date of Complaint:]]="","",IF(Log_2026[[#This Row],[Closed Date:]]&lt;&gt;"","Closed",TODAY()-Log_2026[[#This Row],[Date of Complaint:]]))</f>
        <v>Closed</v>
      </c>
      <c r="H112" t="s">
        <v>258</v>
      </c>
      <c r="I112" s="12" t="s">
        <v>22</v>
      </c>
      <c r="J112" s="12" t="s">
        <v>64</v>
      </c>
      <c r="K112" s="8" t="s">
        <v>9</v>
      </c>
      <c r="M112" s="9">
        <v>46129</v>
      </c>
      <c r="N112" s="9" t="s">
        <v>402</v>
      </c>
      <c r="O112" s="9" t="str">
        <f>_xlfn.XLOOKUP(Log_2026[[#This Row],[Requestor name]], ID_Key[Requestor name], ID_Key[Requestor ID], "")</f>
        <v>RID0080</v>
      </c>
      <c r="P112" s="7"/>
      <c r="Q112" s="50">
        <v>46132</v>
      </c>
      <c r="S112" s="28">
        <f>IF(OR(Log_2026[[#This Row],[Closed Date:]]="",Log_2026[[#This Row],[Closed Date:]]&lt;Log_2026[[#This Row],[Date of Complaint:]]),"",Log_2026[[#This Row],[Closed Date:]]-Log_2026[[#This Row],[Date of Complaint:]])</f>
        <v>3</v>
      </c>
      <c r="T112" s="12">
        <v>46132</v>
      </c>
      <c r="W112" s="30">
        <v>0</v>
      </c>
      <c r="X112" s="30">
        <v>0</v>
      </c>
      <c r="Y112" s="49">
        <f>Log_2026[[#This Row],[Hours Worked To Date]]</f>
        <v>0</v>
      </c>
    </row>
    <row r="113" spans="1:26" x14ac:dyDescent="0.3">
      <c r="A113" s="6" cm="1">
        <f t="array" ref="A113">ROW()-ROW(Log_2026[#Headers])</f>
        <v>110</v>
      </c>
      <c r="B113" s="8" t="str">
        <f xml:space="preserve"> Log_2026[[#This Row],[Count]] &amp; "-26"</f>
        <v>110-26</v>
      </c>
      <c r="C113" s="9">
        <v>46129</v>
      </c>
      <c r="D113" s="2" t="s">
        <v>403</v>
      </c>
      <c r="E113" s="7" t="s">
        <v>397</v>
      </c>
      <c r="G113">
        <f ca="1">IF(Log_2026[[#This Row],[Date of Complaint:]]="","",IF(Log_2026[[#This Row],[Closed Date:]]&lt;&gt;"","Closed",TODAY()-Log_2026[[#This Row],[Date of Complaint:]]))</f>
        <v>37</v>
      </c>
      <c r="H113" t="s">
        <v>137</v>
      </c>
      <c r="I113" s="12" t="s">
        <v>22</v>
      </c>
      <c r="K113" s="8" t="s">
        <v>73</v>
      </c>
      <c r="L113" s="1" t="s">
        <v>9</v>
      </c>
      <c r="M113" s="9">
        <v>46129</v>
      </c>
      <c r="N113" s="9" t="s">
        <v>404</v>
      </c>
      <c r="O113" s="9" t="str">
        <f>_xlfn.XLOOKUP(Log_2026[[#This Row],[Requestor name]], ID_Key[Requestor name], ID_Key[Requestor ID], "")</f>
        <v>RID0081</v>
      </c>
      <c r="P113" s="7"/>
      <c r="Q113" s="50"/>
      <c r="S113" s="28" t="str">
        <f>IF(OR(Log_2026[[#This Row],[Closed Date:]]="",Log_2026[[#This Row],[Closed Date:]]&lt;Log_2026[[#This Row],[Date of Complaint:]]),"",Log_2026[[#This Row],[Closed Date:]]-Log_2026[[#This Row],[Date of Complaint:]])</f>
        <v/>
      </c>
      <c r="W113" s="30"/>
      <c r="X113" s="30"/>
      <c r="Y113" s="59"/>
      <c r="Z113" t="s">
        <v>400</v>
      </c>
    </row>
    <row r="114" spans="1:26" x14ac:dyDescent="0.3">
      <c r="A114" s="6" cm="1">
        <f t="array" ref="A114">ROW()-ROW(Log_2026[#Headers])</f>
        <v>111</v>
      </c>
      <c r="B114" s="8" t="str">
        <f xml:space="preserve"> Log_2026[[#This Row],[Count]] &amp; "-26"</f>
        <v>111-26</v>
      </c>
      <c r="C114" s="9">
        <v>46129</v>
      </c>
      <c r="D114" s="2" t="s">
        <v>405</v>
      </c>
      <c r="E114" s="7" t="s">
        <v>406</v>
      </c>
      <c r="G114" t="str">
        <f ca="1">IF(Log_2026[[#This Row],[Date of Complaint:]]="","",IF(Log_2026[[#This Row],[Closed Date:]]&lt;&gt;"","Closed",TODAY()-Log_2026[[#This Row],[Date of Complaint:]]))</f>
        <v>Closed</v>
      </c>
      <c r="H114" t="s">
        <v>141</v>
      </c>
      <c r="I114" s="12" t="s">
        <v>22</v>
      </c>
      <c r="K114" s="8" t="s">
        <v>10</v>
      </c>
      <c r="M114" s="9">
        <v>46132</v>
      </c>
      <c r="N114" s="9" t="s">
        <v>407</v>
      </c>
      <c r="O114" s="9" t="str">
        <f>_xlfn.XLOOKUP(Log_2026[[#This Row],[Requestor name]], ID_Key[Requestor name], ID_Key[Requestor ID], "")</f>
        <v>RID0082</v>
      </c>
      <c r="P114" s="7" t="s">
        <v>408</v>
      </c>
      <c r="Q114" s="50"/>
      <c r="S114" s="28">
        <f>IF(OR(Log_2026[[#This Row],[Closed Date:]]="",Log_2026[[#This Row],[Closed Date:]]&lt;Log_2026[[#This Row],[Date of Complaint:]]),"",Log_2026[[#This Row],[Closed Date:]]-Log_2026[[#This Row],[Date of Complaint:]])</f>
        <v>4</v>
      </c>
      <c r="T114" s="12">
        <v>46133</v>
      </c>
      <c r="W114" s="30"/>
      <c r="X114" s="30"/>
      <c r="Y114" s="59"/>
    </row>
    <row r="115" spans="1:26" x14ac:dyDescent="0.3">
      <c r="A115" s="6" cm="1">
        <f t="array" ref="A115">ROW()-ROW(Log_2026[#Headers])</f>
        <v>112</v>
      </c>
      <c r="B115" s="8" t="str">
        <f xml:space="preserve"> Log_2026[[#This Row],[Count]] &amp; "-26"</f>
        <v>112-26</v>
      </c>
      <c r="C115" s="9">
        <v>46129</v>
      </c>
      <c r="D115" s="2" t="s">
        <v>409</v>
      </c>
      <c r="E115" s="7" t="s">
        <v>410</v>
      </c>
      <c r="G115">
        <f ca="1">IF(Log_2026[[#This Row],[Date of Complaint:]]="","",IF(Log_2026[[#This Row],[Closed Date:]]&lt;&gt;"","Closed",TODAY()-Log_2026[[#This Row],[Date of Complaint:]]))</f>
        <v>37</v>
      </c>
      <c r="H115" t="s">
        <v>137</v>
      </c>
      <c r="I115" s="12" t="s">
        <v>59</v>
      </c>
      <c r="K115" s="8" t="s">
        <v>10</v>
      </c>
      <c r="M115" s="9">
        <v>46132</v>
      </c>
      <c r="N115" s="9" t="s">
        <v>411</v>
      </c>
      <c r="O115" s="9" t="str">
        <f>_xlfn.XLOOKUP(Log_2026[[#This Row],[Requestor name]], ID_Key[Requestor name], ID_Key[Requestor ID], "")</f>
        <v>RID0083</v>
      </c>
      <c r="P115" s="7" t="s">
        <v>412</v>
      </c>
      <c r="Q115" s="50"/>
      <c r="S115" s="28" t="str">
        <f>IF(OR(Log_2026[[#This Row],[Closed Date:]]="",Log_2026[[#This Row],[Closed Date:]]&lt;Log_2026[[#This Row],[Date of Complaint:]]),"",Log_2026[[#This Row],[Closed Date:]]-Log_2026[[#This Row],[Date of Complaint:]])</f>
        <v/>
      </c>
      <c r="W115" s="30"/>
      <c r="X115" s="30"/>
      <c r="Y115" s="59"/>
    </row>
    <row r="116" spans="1:26" ht="28.8" x14ac:dyDescent="0.3">
      <c r="A116" s="6" cm="1">
        <f t="array" ref="A116">ROW()-ROW(Log_2026[#Headers])</f>
        <v>113</v>
      </c>
      <c r="B116" s="8" t="str">
        <f xml:space="preserve"> Log_2026[[#This Row],[Count]] &amp; "-26"</f>
        <v>113-26</v>
      </c>
      <c r="C116" s="9">
        <v>46129</v>
      </c>
      <c r="D116" s="2" t="s">
        <v>14</v>
      </c>
      <c r="E116" s="7" t="s">
        <v>413</v>
      </c>
      <c r="F116" t="s">
        <v>125</v>
      </c>
      <c r="G116" t="str">
        <f ca="1">IF(Log_2026[[#This Row],[Date of Complaint:]]="","",IF(Log_2026[[#This Row],[Closed Date:]]&lt;&gt;"","Closed",TODAY()-Log_2026[[#This Row],[Date of Complaint:]]))</f>
        <v>Closed</v>
      </c>
      <c r="H116" t="s">
        <v>141</v>
      </c>
      <c r="I116" s="12" t="s">
        <v>22</v>
      </c>
      <c r="J116" s="12" t="s">
        <v>219</v>
      </c>
      <c r="K116" s="8" t="s">
        <v>24</v>
      </c>
      <c r="M116" s="9">
        <v>46129</v>
      </c>
      <c r="N116" s="9" t="s">
        <v>211</v>
      </c>
      <c r="O116" s="9" t="str">
        <f>_xlfn.XLOOKUP(Log_2026[[#This Row],[Requestor name]], ID_Key[Requestor name], ID_Key[Requestor ID], "")</f>
        <v>RID0037</v>
      </c>
      <c r="P116" s="7"/>
      <c r="Q116" s="50">
        <v>46132</v>
      </c>
      <c r="S116" s="28">
        <f>IF(OR(Log_2026[[#This Row],[Closed Date:]]="",Log_2026[[#This Row],[Closed Date:]]&lt;Log_2026[[#This Row],[Date of Complaint:]]),"",Log_2026[[#This Row],[Closed Date:]]-Log_2026[[#This Row],[Date of Complaint:]])</f>
        <v>6</v>
      </c>
      <c r="T116" s="12">
        <v>46135</v>
      </c>
      <c r="U116" s="28">
        <v>1</v>
      </c>
      <c r="V116" s="29">
        <v>6.1111111111111109E-2</v>
      </c>
      <c r="W116" s="60">
        <v>1</v>
      </c>
      <c r="X116" s="30">
        <v>0</v>
      </c>
      <c r="Y116" s="49">
        <f>Log_2026[[#This Row],[Hours Worked To Date]]</f>
        <v>6.1111111111111109E-2</v>
      </c>
    </row>
    <row r="117" spans="1:26" x14ac:dyDescent="0.3">
      <c r="A117" s="6" cm="1">
        <f t="array" ref="A117">ROW()-ROW(Log_2026[#Headers])</f>
        <v>114</v>
      </c>
      <c r="B117" s="8" t="str">
        <f xml:space="preserve"> Log_2026[[#This Row],[Count]] &amp; "-26"</f>
        <v>114-26</v>
      </c>
      <c r="C117" s="9">
        <v>46129</v>
      </c>
      <c r="D117" s="2" t="s">
        <v>14</v>
      </c>
      <c r="E117" s="7" t="s">
        <v>414</v>
      </c>
      <c r="F117" t="s">
        <v>136</v>
      </c>
      <c r="G117" t="str">
        <f ca="1">IF(Log_2026[[#This Row],[Date of Complaint:]]="","",IF(Log_2026[[#This Row],[Closed Date:]]&lt;&gt;"","Closed",TODAY()-Log_2026[[#This Row],[Date of Complaint:]]))</f>
        <v>Closed</v>
      </c>
      <c r="H117" t="s">
        <v>258</v>
      </c>
      <c r="I117" s="12" t="s">
        <v>22</v>
      </c>
      <c r="J117" s="12" t="s">
        <v>219</v>
      </c>
      <c r="K117" s="8" t="s">
        <v>9</v>
      </c>
      <c r="M117" s="9">
        <v>46129</v>
      </c>
      <c r="N117" s="9" t="s">
        <v>402</v>
      </c>
      <c r="O117" s="9" t="str">
        <f>_xlfn.XLOOKUP(Log_2026[[#This Row],[Requestor name]], ID_Key[Requestor name], ID_Key[Requestor ID], "")</f>
        <v>RID0080</v>
      </c>
      <c r="P117" s="7"/>
      <c r="Q117" s="50">
        <v>46132</v>
      </c>
      <c r="S117" s="28">
        <f>IF(OR(Log_2026[[#This Row],[Closed Date:]]="",Log_2026[[#This Row],[Closed Date:]]&lt;Log_2026[[#This Row],[Date of Complaint:]]),"",Log_2026[[#This Row],[Closed Date:]]-Log_2026[[#This Row],[Date of Complaint:]])</f>
        <v>19</v>
      </c>
      <c r="T117" s="12">
        <v>46148</v>
      </c>
      <c r="V117" s="29">
        <v>0.25</v>
      </c>
      <c r="W117" s="30">
        <v>0</v>
      </c>
      <c r="X117" s="30">
        <v>0</v>
      </c>
      <c r="Y117" s="49">
        <f>Log_2026[[#This Row],[Hours Worked To Date]]</f>
        <v>0.25</v>
      </c>
    </row>
    <row r="118" spans="1:26" x14ac:dyDescent="0.3">
      <c r="A118" s="6" cm="1">
        <f t="array" ref="A118">ROW()-ROW(Log_2026[#Headers])</f>
        <v>115</v>
      </c>
      <c r="B118" s="8" t="str">
        <f xml:space="preserve"> Log_2026[[#This Row],[Count]] &amp; "-26"</f>
        <v>115-26</v>
      </c>
      <c r="C118" s="9">
        <v>46129</v>
      </c>
      <c r="D118" s="2" t="s">
        <v>415</v>
      </c>
      <c r="E118" s="7" t="s">
        <v>416</v>
      </c>
      <c r="G118">
        <f ca="1">IF(Log_2026[[#This Row],[Date of Complaint:]]="","",IF(Log_2026[[#This Row],[Closed Date:]]&lt;&gt;"","Closed",TODAY()-Log_2026[[#This Row],[Date of Complaint:]]))</f>
        <v>37</v>
      </c>
      <c r="H118" t="s">
        <v>137</v>
      </c>
      <c r="I118" s="12" t="s">
        <v>59</v>
      </c>
      <c r="K118" s="8" t="s">
        <v>10</v>
      </c>
      <c r="M118" s="9">
        <v>46132</v>
      </c>
      <c r="N118" s="9" t="s">
        <v>417</v>
      </c>
      <c r="O118" s="9" t="str">
        <f>_xlfn.XLOOKUP(Log_2026[[#This Row],[Requestor name]], ID_Key[Requestor name], ID_Key[Requestor ID], "")</f>
        <v>RID0084</v>
      </c>
      <c r="P118" s="7"/>
      <c r="Q118" s="50"/>
      <c r="S118" s="28" t="str">
        <f>IF(OR(Log_2026[[#This Row],[Closed Date:]]="",Log_2026[[#This Row],[Closed Date:]]&lt;Log_2026[[#This Row],[Date of Complaint:]]),"",Log_2026[[#This Row],[Closed Date:]]-Log_2026[[#This Row],[Date of Complaint:]])</f>
        <v/>
      </c>
      <c r="W118" s="30"/>
      <c r="X118" s="30"/>
      <c r="Y118" s="59"/>
    </row>
    <row r="119" spans="1:26" x14ac:dyDescent="0.3">
      <c r="A119" s="6" cm="1">
        <f t="array" ref="A119">ROW()-ROW(Log_2026[#Headers])</f>
        <v>116</v>
      </c>
      <c r="B119" s="8" t="str">
        <f xml:space="preserve"> Log_2026[[#This Row],[Count]] &amp; "-26"</f>
        <v>116-26</v>
      </c>
      <c r="C119" s="9">
        <v>46132</v>
      </c>
      <c r="D119" s="2" t="s">
        <v>418</v>
      </c>
      <c r="E119" s="7" t="s">
        <v>17</v>
      </c>
      <c r="G119">
        <f ca="1">IF(Log_2026[[#This Row],[Date of Complaint:]]="","",IF(Log_2026[[#This Row],[Closed Date:]]&lt;&gt;"","Closed",TODAY()-Log_2026[[#This Row],[Date of Complaint:]]))</f>
        <v>34</v>
      </c>
      <c r="H119" t="s">
        <v>137</v>
      </c>
      <c r="I119" s="12" t="s">
        <v>59</v>
      </c>
      <c r="K119" s="8" t="s">
        <v>10</v>
      </c>
      <c r="M119" s="9">
        <v>46133</v>
      </c>
      <c r="N119" s="9" t="s">
        <v>419</v>
      </c>
      <c r="O119" s="9" t="str">
        <f>_xlfn.XLOOKUP(Log_2026[[#This Row],[Requestor name]], ID_Key[Requestor name], ID_Key[Requestor ID], "")</f>
        <v>RID0085</v>
      </c>
      <c r="P119" s="7"/>
      <c r="Q119" s="50"/>
      <c r="S119" s="28" t="str">
        <f>IF(OR(Log_2026[[#This Row],[Closed Date:]]="",Log_2026[[#This Row],[Closed Date:]]&lt;Log_2026[[#This Row],[Date of Complaint:]]),"",Log_2026[[#This Row],[Closed Date:]]-Log_2026[[#This Row],[Date of Complaint:]])</f>
        <v/>
      </c>
      <c r="W119" s="30"/>
      <c r="X119" s="30"/>
      <c r="Y119" s="59"/>
    </row>
    <row r="120" spans="1:26" x14ac:dyDescent="0.3">
      <c r="A120" s="6" cm="1">
        <f t="array" ref="A120">ROW()-ROW(Log_2026[#Headers])</f>
        <v>117</v>
      </c>
      <c r="B120" s="8" t="str">
        <f xml:space="preserve"> Log_2026[[#This Row],[Count]] &amp; "-26"</f>
        <v>117-26</v>
      </c>
      <c r="C120" s="9">
        <v>46134</v>
      </c>
      <c r="D120" s="2" t="s">
        <v>420</v>
      </c>
      <c r="E120" s="7" t="s">
        <v>421</v>
      </c>
      <c r="G120">
        <f ca="1">IF(Log_2026[[#This Row],[Date of Complaint:]]="","",IF(Log_2026[[#This Row],[Closed Date:]]&lt;&gt;"","Closed",TODAY()-Log_2026[[#This Row],[Date of Complaint:]]))</f>
        <v>32</v>
      </c>
      <c r="H120" t="s">
        <v>137</v>
      </c>
      <c r="I120" s="12" t="s">
        <v>59</v>
      </c>
      <c r="K120" s="8" t="s">
        <v>9</v>
      </c>
      <c r="M120" s="9">
        <v>46135</v>
      </c>
      <c r="N120" s="9" t="s">
        <v>15</v>
      </c>
      <c r="O120" s="9" t="str">
        <f>_xlfn.XLOOKUP(Log_2026[[#This Row],[Requestor name]], ID_Key[Requestor name], ID_Key[Requestor ID], "")</f>
        <v>RID0050</v>
      </c>
      <c r="P120" s="7"/>
      <c r="Q120" s="50"/>
      <c r="S120" s="28" t="str">
        <f>IF(OR(Log_2026[[#This Row],[Closed Date:]]="",Log_2026[[#This Row],[Closed Date:]]&lt;Log_2026[[#This Row],[Date of Complaint:]]),"",Log_2026[[#This Row],[Closed Date:]]-Log_2026[[#This Row],[Date of Complaint:]])</f>
        <v/>
      </c>
      <c r="W120" s="30"/>
      <c r="X120" s="30"/>
      <c r="Y120" s="59"/>
      <c r="Z120" t="s">
        <v>422</v>
      </c>
    </row>
    <row r="121" spans="1:26" ht="28.8" x14ac:dyDescent="0.3">
      <c r="A121" s="6" cm="1">
        <f t="array" ref="A121">ROW()-ROW(Log_2026[#Headers])</f>
        <v>118</v>
      </c>
      <c r="B121" s="8" t="str">
        <f xml:space="preserve"> Log_2026[[#This Row],[Count]] &amp; "-26"</f>
        <v>118-26</v>
      </c>
      <c r="C121" s="9">
        <v>46136</v>
      </c>
      <c r="D121" s="2" t="s">
        <v>423</v>
      </c>
      <c r="E121" s="7" t="s">
        <v>18</v>
      </c>
      <c r="G121" t="str">
        <f ca="1">IF(Log_2026[[#This Row],[Date of Complaint:]]="","",IF(Log_2026[[#This Row],[Closed Date:]]&lt;&gt;"","Closed",TODAY()-Log_2026[[#This Row],[Date of Complaint:]]))</f>
        <v>Closed</v>
      </c>
      <c r="H121" t="s">
        <v>137</v>
      </c>
      <c r="I121" s="12" t="s">
        <v>22</v>
      </c>
      <c r="K121" s="8" t="s">
        <v>10</v>
      </c>
      <c r="M121" s="9">
        <v>46139</v>
      </c>
      <c r="N121" s="9" t="s">
        <v>419</v>
      </c>
      <c r="O121" s="9" t="str">
        <f>_xlfn.XLOOKUP(Log_2026[[#This Row],[Requestor name]], ID_Key[Requestor name], ID_Key[Requestor ID], "")</f>
        <v>RID0085</v>
      </c>
      <c r="P121" s="7"/>
      <c r="Q121" s="50"/>
      <c r="S121" s="28">
        <f>IF(OR(Log_2026[[#This Row],[Closed Date:]]="",Log_2026[[#This Row],[Closed Date:]]&lt;Log_2026[[#This Row],[Date of Complaint:]]),"",Log_2026[[#This Row],[Closed Date:]]-Log_2026[[#This Row],[Date of Complaint:]])</f>
        <v>20</v>
      </c>
      <c r="T121" s="12">
        <v>46156</v>
      </c>
      <c r="W121" s="30"/>
      <c r="X121" s="30"/>
      <c r="Y121" s="59"/>
    </row>
    <row r="122" spans="1:26" x14ac:dyDescent="0.3">
      <c r="A122" s="6" cm="1">
        <f t="array" ref="A122">ROW()-ROW(Log_2026[#Headers])</f>
        <v>119</v>
      </c>
      <c r="B122" s="8" t="str">
        <f xml:space="preserve"> Log_2026[[#This Row],[Count]] &amp; "-26"</f>
        <v>119-26</v>
      </c>
      <c r="C122" s="9">
        <v>46136</v>
      </c>
      <c r="D122" s="2" t="s">
        <v>14</v>
      </c>
      <c r="E122" s="7" t="s">
        <v>424</v>
      </c>
      <c r="F122" t="s">
        <v>125</v>
      </c>
      <c r="G122" t="str">
        <f ca="1">IF(Log_2026[[#This Row],[Date of Complaint:]]="","",IF(Log_2026[[#This Row],[Closed Date:]]&lt;&gt;"","Closed",TODAY()-Log_2026[[#This Row],[Date of Complaint:]]))</f>
        <v>Closed</v>
      </c>
      <c r="H122" t="s">
        <v>137</v>
      </c>
      <c r="I122" s="12" t="s">
        <v>22</v>
      </c>
      <c r="J122" s="12" t="s">
        <v>219</v>
      </c>
      <c r="K122" s="8" t="s">
        <v>11</v>
      </c>
      <c r="L122" s="1" t="s">
        <v>319</v>
      </c>
      <c r="M122" s="9">
        <v>46139</v>
      </c>
      <c r="N122" s="9" t="s">
        <v>126</v>
      </c>
      <c r="O122" s="9" t="str">
        <f>_xlfn.XLOOKUP(Log_2026[[#This Row],[Requestor name]], ID_Key[Requestor name], ID_Key[Requestor ID], "")</f>
        <v>RID0019</v>
      </c>
      <c r="P122" s="7"/>
      <c r="Q122" s="50">
        <v>46139</v>
      </c>
      <c r="S122" s="28">
        <f>IF(OR(Log_2026[[#This Row],[Closed Date:]]="",Log_2026[[#This Row],[Closed Date:]]&lt;Log_2026[[#This Row],[Date of Complaint:]]),"",Log_2026[[#This Row],[Closed Date:]]-Log_2026[[#This Row],[Date of Complaint:]])</f>
        <v>4</v>
      </c>
      <c r="T122" s="12">
        <v>46140</v>
      </c>
      <c r="U122" s="28">
        <v>50</v>
      </c>
      <c r="V122" s="29">
        <v>7.2916666666666671E-2</v>
      </c>
      <c r="W122" s="30">
        <v>0</v>
      </c>
      <c r="X122" s="30">
        <v>0</v>
      </c>
      <c r="Y122" s="59">
        <v>7.2916666666666671E-2</v>
      </c>
    </row>
    <row r="123" spans="1:26" x14ac:dyDescent="0.3">
      <c r="A123" s="6" cm="1">
        <f t="array" ref="A123">ROW()-ROW(Log_2026[#Headers])</f>
        <v>120</v>
      </c>
      <c r="B123" s="8" t="str">
        <f xml:space="preserve"> Log_2026[[#This Row],[Count]] &amp; "-26"</f>
        <v>120-26</v>
      </c>
      <c r="C123" s="9">
        <v>46136</v>
      </c>
      <c r="D123" s="2" t="s">
        <v>425</v>
      </c>
      <c r="E123" s="7" t="s">
        <v>426</v>
      </c>
      <c r="G123" t="str">
        <f ca="1">IF(Log_2026[[#This Row],[Date of Complaint:]]="","",IF(Log_2026[[#This Row],[Closed Date:]]&lt;&gt;"","Closed",TODAY()-Log_2026[[#This Row],[Date of Complaint:]]))</f>
        <v>Closed</v>
      </c>
      <c r="H123" t="s">
        <v>137</v>
      </c>
      <c r="I123" s="12" t="s">
        <v>59</v>
      </c>
      <c r="K123" s="8" t="s">
        <v>11</v>
      </c>
      <c r="M123" s="9">
        <v>46139</v>
      </c>
      <c r="N123" s="9" t="s">
        <v>427</v>
      </c>
      <c r="O123" s="9" t="str">
        <f>_xlfn.XLOOKUP(Log_2026[[#This Row],[Requestor name]], ID_Key[Requestor name], ID_Key[Requestor ID], "")</f>
        <v>RID0086</v>
      </c>
      <c r="P123" s="7"/>
      <c r="Q123" s="50"/>
      <c r="S123" s="28">
        <f>IF(OR(Log_2026[[#This Row],[Closed Date:]]="",Log_2026[[#This Row],[Closed Date:]]&lt;Log_2026[[#This Row],[Date of Complaint:]]),"",Log_2026[[#This Row],[Closed Date:]]-Log_2026[[#This Row],[Date of Complaint:]])</f>
        <v>3</v>
      </c>
      <c r="T123" s="12">
        <v>46139</v>
      </c>
      <c r="W123" s="30"/>
      <c r="X123" s="30"/>
      <c r="Y123" s="59"/>
    </row>
    <row r="124" spans="1:26" x14ac:dyDescent="0.3">
      <c r="A124" s="6" cm="1">
        <f t="array" ref="A124">ROW()-ROW(Log_2026[#Headers])</f>
        <v>121</v>
      </c>
      <c r="B124" s="8" t="str">
        <f xml:space="preserve"> Log_2026[[#This Row],[Count]] &amp; "-26"</f>
        <v>121-26</v>
      </c>
      <c r="C124" s="9">
        <v>46136</v>
      </c>
      <c r="D124" s="2" t="s">
        <v>428</v>
      </c>
      <c r="E124" s="7" t="s">
        <v>17</v>
      </c>
      <c r="G124" t="str">
        <f ca="1">IF(Log_2026[[#This Row],[Date of Complaint:]]="","",IF(Log_2026[[#This Row],[Closed Date:]]&lt;&gt;"","Closed",TODAY()-Log_2026[[#This Row],[Date of Complaint:]]))</f>
        <v>Closed</v>
      </c>
      <c r="H124" t="s">
        <v>137</v>
      </c>
      <c r="I124" s="12" t="s">
        <v>22</v>
      </c>
      <c r="K124" s="8" t="s">
        <v>10</v>
      </c>
      <c r="M124" s="9">
        <v>46139</v>
      </c>
      <c r="N124" s="9" t="s">
        <v>429</v>
      </c>
      <c r="O124" s="9" t="str">
        <f>_xlfn.XLOOKUP(Log_2026[[#This Row],[Requestor name]], ID_Key[Requestor name], ID_Key[Requestor ID], "")</f>
        <v>RID0087</v>
      </c>
      <c r="P124" s="7"/>
      <c r="Q124" s="50"/>
      <c r="S124" s="28">
        <f>IF(OR(Log_2026[[#This Row],[Closed Date:]]="",Log_2026[[#This Row],[Closed Date:]]&lt;Log_2026[[#This Row],[Date of Complaint:]]),"",Log_2026[[#This Row],[Closed Date:]]-Log_2026[[#This Row],[Date of Complaint:]])</f>
        <v>14</v>
      </c>
      <c r="T124" s="12">
        <v>46150</v>
      </c>
      <c r="W124" s="30"/>
      <c r="X124" s="30"/>
      <c r="Y124" s="59"/>
    </row>
    <row r="125" spans="1:26" x14ac:dyDescent="0.3">
      <c r="A125" s="6" cm="1">
        <f t="array" ref="A125">ROW()-ROW(Log_2026[#Headers])</f>
        <v>122</v>
      </c>
      <c r="B125" s="8" t="str">
        <f xml:space="preserve"> Log_2026[[#This Row],[Count]] &amp; "-26"</f>
        <v>122-26</v>
      </c>
      <c r="C125" s="9">
        <v>46136</v>
      </c>
      <c r="D125" s="2" t="s">
        <v>430</v>
      </c>
      <c r="E125" s="7" t="s">
        <v>431</v>
      </c>
      <c r="G125">
        <f ca="1">IF(Log_2026[[#This Row],[Date of Complaint:]]="","",IF(Log_2026[[#This Row],[Closed Date:]]&lt;&gt;"","Closed",TODAY()-Log_2026[[#This Row],[Date of Complaint:]]))</f>
        <v>30</v>
      </c>
      <c r="H125" t="s">
        <v>137</v>
      </c>
      <c r="I125" s="12" t="s">
        <v>59</v>
      </c>
      <c r="K125" s="8" t="s">
        <v>10</v>
      </c>
      <c r="M125" s="9">
        <v>46139</v>
      </c>
      <c r="N125" s="9" t="s">
        <v>432</v>
      </c>
      <c r="O125" s="9" t="str">
        <f>_xlfn.XLOOKUP(Log_2026[[#This Row],[Requestor name]], ID_Key[Requestor name], ID_Key[Requestor ID], "")</f>
        <v>RID0088</v>
      </c>
      <c r="P125" s="7"/>
      <c r="Q125" s="50"/>
      <c r="S125" s="28" t="str">
        <f>IF(OR(Log_2026[[#This Row],[Closed Date:]]="",Log_2026[[#This Row],[Closed Date:]]&lt;Log_2026[[#This Row],[Date of Complaint:]]),"",Log_2026[[#This Row],[Closed Date:]]-Log_2026[[#This Row],[Date of Complaint:]])</f>
        <v/>
      </c>
      <c r="W125" s="30"/>
      <c r="X125" s="30"/>
      <c r="Y125" s="59"/>
    </row>
    <row r="126" spans="1:26" ht="28.8" x14ac:dyDescent="0.3">
      <c r="A126" s="6" cm="1">
        <f t="array" ref="A126">ROW()-ROW(Log_2026[#Headers])</f>
        <v>123</v>
      </c>
      <c r="B126" s="8" t="str">
        <f xml:space="preserve"> Log_2026[[#This Row],[Count]] &amp; "-26"</f>
        <v>123-26</v>
      </c>
      <c r="C126" s="9">
        <v>46136</v>
      </c>
      <c r="D126" s="2" t="s">
        <v>433</v>
      </c>
      <c r="E126" s="7" t="s">
        <v>18</v>
      </c>
      <c r="G126" t="str">
        <f ca="1">IF(Log_2026[[#This Row],[Date of Complaint:]]="","",IF(Log_2026[[#This Row],[Closed Date:]]&lt;&gt;"","Closed",TODAY()-Log_2026[[#This Row],[Date of Complaint:]]))</f>
        <v>Closed</v>
      </c>
      <c r="H126" t="s">
        <v>137</v>
      </c>
      <c r="I126" s="12" t="s">
        <v>22</v>
      </c>
      <c r="K126" s="8" t="s">
        <v>10</v>
      </c>
      <c r="M126" s="9">
        <v>46139</v>
      </c>
      <c r="N126" s="9" t="s">
        <v>434</v>
      </c>
      <c r="O126" s="9" t="str">
        <f>_xlfn.XLOOKUP(Log_2026[[#This Row],[Requestor name]], ID_Key[Requestor name], ID_Key[Requestor ID], "")</f>
        <v>RID0089</v>
      </c>
      <c r="P126" s="7"/>
      <c r="Q126" s="50"/>
      <c r="S126" s="28">
        <f>IF(OR(Log_2026[[#This Row],[Closed Date:]]="",Log_2026[[#This Row],[Closed Date:]]&lt;Log_2026[[#This Row],[Date of Complaint:]]),"",Log_2026[[#This Row],[Closed Date:]]-Log_2026[[#This Row],[Date of Complaint:]])</f>
        <v>4</v>
      </c>
      <c r="T126" s="12">
        <v>46140</v>
      </c>
      <c r="W126" s="30"/>
      <c r="X126" s="30"/>
      <c r="Y126" s="59"/>
    </row>
    <row r="127" spans="1:26" x14ac:dyDescent="0.3">
      <c r="A127" s="6" cm="1">
        <f t="array" ref="A127">ROW()-ROW(Log_2026[#Headers])</f>
        <v>124</v>
      </c>
      <c r="B127" s="8" t="str">
        <f xml:space="preserve"> Log_2026[[#This Row],[Count]] &amp; "-26"</f>
        <v>124-26</v>
      </c>
      <c r="C127" s="9">
        <v>46138</v>
      </c>
      <c r="D127" s="2" t="s">
        <v>435</v>
      </c>
      <c r="E127" s="7" t="s">
        <v>436</v>
      </c>
      <c r="G127">
        <f ca="1">IF(Log_2026[[#This Row],[Date of Complaint:]]="","",IF(Log_2026[[#This Row],[Closed Date:]]&lt;&gt;"","Closed",TODAY()-Log_2026[[#This Row],[Date of Complaint:]]))</f>
        <v>28</v>
      </c>
      <c r="H127" t="s">
        <v>137</v>
      </c>
      <c r="I127" s="12" t="s">
        <v>59</v>
      </c>
      <c r="K127" s="8" t="s">
        <v>10</v>
      </c>
      <c r="M127" s="9">
        <v>46139</v>
      </c>
      <c r="N127" s="9" t="s">
        <v>437</v>
      </c>
      <c r="O127" s="9" t="str">
        <f>_xlfn.XLOOKUP(Log_2026[[#This Row],[Requestor name]], ID_Key[Requestor name], ID_Key[Requestor ID], "")</f>
        <v>RID0090</v>
      </c>
      <c r="P127" s="7"/>
      <c r="Q127" s="50"/>
      <c r="S127" s="28" t="str">
        <f>IF(OR(Log_2026[[#This Row],[Closed Date:]]="",Log_2026[[#This Row],[Closed Date:]]&lt;Log_2026[[#This Row],[Date of Complaint:]]),"",Log_2026[[#This Row],[Closed Date:]]-Log_2026[[#This Row],[Date of Complaint:]])</f>
        <v/>
      </c>
      <c r="W127" s="30"/>
      <c r="X127" s="30"/>
      <c r="Y127" s="59"/>
    </row>
    <row r="128" spans="1:26" ht="28.8" x14ac:dyDescent="0.3">
      <c r="A128" s="6" cm="1">
        <f t="array" ref="A128">ROW()-ROW(Log_2026[#Headers])</f>
        <v>125</v>
      </c>
      <c r="B128" s="8" t="str">
        <f xml:space="preserve"> Log_2026[[#This Row],[Count]] &amp; "-26"</f>
        <v>125-26</v>
      </c>
      <c r="C128" s="9">
        <v>46137</v>
      </c>
      <c r="D128" s="2" t="s">
        <v>438</v>
      </c>
      <c r="E128" s="7" t="s">
        <v>439</v>
      </c>
      <c r="G128">
        <f ca="1">IF(Log_2026[[#This Row],[Date of Complaint:]]="","",IF(Log_2026[[#This Row],[Closed Date:]]&lt;&gt;"","Closed",TODAY()-Log_2026[[#This Row],[Date of Complaint:]]))</f>
        <v>29</v>
      </c>
      <c r="H128" t="s">
        <v>291</v>
      </c>
      <c r="I128" s="12" t="s">
        <v>59</v>
      </c>
      <c r="K128" s="8" t="s">
        <v>10</v>
      </c>
      <c r="L128" s="1" t="s">
        <v>117</v>
      </c>
      <c r="M128" s="9">
        <v>46139</v>
      </c>
      <c r="N128" s="9" t="s">
        <v>357</v>
      </c>
      <c r="O128" s="9" t="str">
        <f>_xlfn.XLOOKUP(Log_2026[[#This Row],[Requestor name]], ID_Key[Requestor name], ID_Key[Requestor ID], "")</f>
        <v>RID0069</v>
      </c>
      <c r="P128" s="7"/>
      <c r="Q128" s="50"/>
      <c r="S128" s="28" t="str">
        <f>IF(OR(Log_2026[[#This Row],[Closed Date:]]="",Log_2026[[#This Row],[Closed Date:]]&lt;Log_2026[[#This Row],[Date of Complaint:]]),"",Log_2026[[#This Row],[Closed Date:]]-Log_2026[[#This Row],[Date of Complaint:]])</f>
        <v/>
      </c>
      <c r="W128" s="30"/>
      <c r="X128" s="30"/>
      <c r="Y128" s="59"/>
      <c r="Z128" t="s">
        <v>440</v>
      </c>
    </row>
    <row r="129" spans="1:26" x14ac:dyDescent="0.3">
      <c r="A129" s="6" cm="1">
        <f t="array" ref="A129">ROW()-ROW(Log_2026[#Headers])</f>
        <v>126</v>
      </c>
      <c r="B129" s="8" t="str">
        <f xml:space="preserve"> Log_2026[[#This Row],[Count]] &amp; "-26"</f>
        <v>126-26</v>
      </c>
      <c r="C129" s="9">
        <v>46139</v>
      </c>
      <c r="D129" s="2" t="s">
        <v>441</v>
      </c>
      <c r="E129" s="7" t="s">
        <v>18</v>
      </c>
      <c r="G129">
        <f ca="1">IF(Log_2026[[#This Row],[Date of Complaint:]]="","",IF(Log_2026[[#This Row],[Closed Date:]]&lt;&gt;"","Closed",TODAY()-Log_2026[[#This Row],[Date of Complaint:]]))</f>
        <v>27</v>
      </c>
      <c r="H129" t="s">
        <v>137</v>
      </c>
      <c r="I129" s="12" t="s">
        <v>59</v>
      </c>
      <c r="K129" s="8" t="s">
        <v>10</v>
      </c>
      <c r="M129" s="9">
        <v>46139</v>
      </c>
      <c r="N129" s="9" t="s">
        <v>442</v>
      </c>
      <c r="O129" s="9" t="str">
        <f>_xlfn.XLOOKUP(Log_2026[[#This Row],[Requestor name]], ID_Key[Requestor name], ID_Key[Requestor ID], "")</f>
        <v>RID0091</v>
      </c>
      <c r="P129" s="7"/>
      <c r="Q129" s="50"/>
      <c r="S129" s="28" t="str">
        <f>IF(OR(Log_2026[[#This Row],[Closed Date:]]="",Log_2026[[#This Row],[Closed Date:]]&lt;Log_2026[[#This Row],[Date of Complaint:]]),"",Log_2026[[#This Row],[Closed Date:]]-Log_2026[[#This Row],[Date of Complaint:]])</f>
        <v/>
      </c>
      <c r="W129" s="30"/>
      <c r="X129" s="30"/>
      <c r="Y129" s="59"/>
    </row>
    <row r="130" spans="1:26" x14ac:dyDescent="0.3">
      <c r="A130" s="6" cm="1">
        <f t="array" ref="A130">ROW()-ROW(Log_2026[#Headers])</f>
        <v>127</v>
      </c>
      <c r="B130" s="8" t="str">
        <f xml:space="preserve"> Log_2026[[#This Row],[Count]] &amp; "-26"</f>
        <v>127-26</v>
      </c>
      <c r="C130" s="9">
        <v>46140</v>
      </c>
      <c r="D130" s="2" t="s">
        <v>443</v>
      </c>
      <c r="E130" s="7" t="s">
        <v>444</v>
      </c>
      <c r="G130" t="str">
        <f ca="1">IF(Log_2026[[#This Row],[Date of Complaint:]]="","",IF(Log_2026[[#This Row],[Closed Date:]]&lt;&gt;"","Closed",TODAY()-Log_2026[[#This Row],[Date of Complaint:]]))</f>
        <v>Closed</v>
      </c>
      <c r="H130" t="s">
        <v>137</v>
      </c>
      <c r="I130" s="12" t="s">
        <v>22</v>
      </c>
      <c r="K130" s="8" t="s">
        <v>10</v>
      </c>
      <c r="M130" s="9">
        <v>46142</v>
      </c>
      <c r="N130" s="9" t="s">
        <v>445</v>
      </c>
      <c r="O130" s="9" t="str">
        <f>_xlfn.XLOOKUP(Log_2026[[#This Row],[Requestor name]], ID_Key[Requestor name], ID_Key[Requestor ID], "")</f>
        <v>RID0092</v>
      </c>
      <c r="P130" s="7"/>
      <c r="Q130" s="50"/>
      <c r="S130" s="28">
        <f>IF(OR(Log_2026[[#This Row],[Closed Date:]]="",Log_2026[[#This Row],[Closed Date:]]&lt;Log_2026[[#This Row],[Date of Complaint:]]),"",Log_2026[[#This Row],[Closed Date:]]-Log_2026[[#This Row],[Date of Complaint:]])</f>
        <v>2</v>
      </c>
      <c r="T130" s="12">
        <v>46142</v>
      </c>
      <c r="W130" s="30"/>
      <c r="X130" s="30"/>
      <c r="Y130" s="59"/>
    </row>
    <row r="131" spans="1:26" x14ac:dyDescent="0.3">
      <c r="A131" s="6" cm="1">
        <f t="array" ref="A131">ROW()-ROW(Log_2026[#Headers])</f>
        <v>128</v>
      </c>
      <c r="B131" s="8" t="str">
        <f xml:space="preserve"> Log_2026[[#This Row],[Count]] &amp; "-26"</f>
        <v>128-26</v>
      </c>
      <c r="C131" s="9">
        <v>46140</v>
      </c>
      <c r="D131" s="2" t="s">
        <v>446</v>
      </c>
      <c r="E131" s="7" t="s">
        <v>17</v>
      </c>
      <c r="G131" t="str">
        <f ca="1">IF(Log_2026[[#This Row],[Date of Complaint:]]="","",IF(Log_2026[[#This Row],[Closed Date:]]&lt;&gt;"","Closed",TODAY()-Log_2026[[#This Row],[Date of Complaint:]]))</f>
        <v>Closed</v>
      </c>
      <c r="H131" t="s">
        <v>137</v>
      </c>
      <c r="I131" s="12" t="s">
        <v>22</v>
      </c>
      <c r="K131" s="8" t="s">
        <v>10</v>
      </c>
      <c r="M131" s="9">
        <v>46142</v>
      </c>
      <c r="N131" s="9" t="s">
        <v>447</v>
      </c>
      <c r="O131" s="9" t="str">
        <f>_xlfn.XLOOKUP(Log_2026[[#This Row],[Requestor name]], ID_Key[Requestor name], ID_Key[Requestor ID], "")</f>
        <v>RID0093</v>
      </c>
      <c r="P131" s="7"/>
      <c r="Q131" s="50"/>
      <c r="S131" s="28">
        <f>IF(OR(Log_2026[[#This Row],[Closed Date:]]="",Log_2026[[#This Row],[Closed Date:]]&lt;Log_2026[[#This Row],[Date of Complaint:]]),"",Log_2026[[#This Row],[Closed Date:]]-Log_2026[[#This Row],[Date of Complaint:]])</f>
        <v>20</v>
      </c>
      <c r="T131" s="12">
        <v>46160</v>
      </c>
      <c r="W131" s="30"/>
      <c r="X131" s="30"/>
      <c r="Y131" s="59"/>
    </row>
    <row r="132" spans="1:26" x14ac:dyDescent="0.3">
      <c r="A132" s="6" cm="1">
        <f t="array" ref="A132">ROW()-ROW(Log_2026[#Headers])</f>
        <v>129</v>
      </c>
      <c r="B132" s="8" t="str">
        <f xml:space="preserve"> Log_2026[[#This Row],[Count]] &amp; "-26"</f>
        <v>129-26</v>
      </c>
      <c r="C132" s="9">
        <v>46140</v>
      </c>
      <c r="D132" s="2" t="s">
        <v>16</v>
      </c>
      <c r="E132" s="7" t="s">
        <v>448</v>
      </c>
      <c r="G132">
        <f ca="1">IF(Log_2026[[#This Row],[Date of Complaint:]]="","",IF(Log_2026[[#This Row],[Closed Date:]]&lt;&gt;"","Closed",TODAY()-Log_2026[[#This Row],[Date of Complaint:]]))</f>
        <v>26</v>
      </c>
      <c r="H132" t="s">
        <v>137</v>
      </c>
      <c r="I132" s="12" t="s">
        <v>59</v>
      </c>
      <c r="K132" s="8" t="s">
        <v>9</v>
      </c>
      <c r="M132" s="9">
        <v>46142</v>
      </c>
      <c r="N132" s="9" t="s">
        <v>332</v>
      </c>
      <c r="O132" s="9" t="str">
        <f>_xlfn.XLOOKUP(Log_2026[[#This Row],[Requestor name]], ID_Key[Requestor name], ID_Key[Requestor ID], "")</f>
        <v>RID0064</v>
      </c>
      <c r="P132" s="7"/>
      <c r="Q132" s="50"/>
      <c r="S132" s="28" t="str">
        <f>IF(OR(Log_2026[[#This Row],[Closed Date:]]="",Log_2026[[#This Row],[Closed Date:]]&lt;Log_2026[[#This Row],[Date of Complaint:]]),"",Log_2026[[#This Row],[Closed Date:]]-Log_2026[[#This Row],[Date of Complaint:]])</f>
        <v/>
      </c>
      <c r="W132" s="30"/>
      <c r="X132" s="30"/>
      <c r="Y132" s="59"/>
      <c r="Z132" t="s">
        <v>449</v>
      </c>
    </row>
    <row r="133" spans="1:26" x14ac:dyDescent="0.3">
      <c r="A133" s="6" cm="1">
        <f t="array" ref="A133">ROW()-ROW(Log_2026[#Headers])</f>
        <v>130</v>
      </c>
      <c r="B133" s="8" t="str">
        <f xml:space="preserve"> Log_2026[[#This Row],[Count]] &amp; "-26"</f>
        <v>130-26</v>
      </c>
      <c r="C133" s="9">
        <v>46141</v>
      </c>
      <c r="D133" s="2" t="s">
        <v>450</v>
      </c>
      <c r="E133" s="7" t="s">
        <v>393</v>
      </c>
      <c r="G133" t="str">
        <f ca="1">IF(Log_2026[[#This Row],[Date of Complaint:]]="","",IF(Log_2026[[#This Row],[Closed Date:]]&lt;&gt;"","Closed",TODAY()-Log_2026[[#This Row],[Date of Complaint:]]))</f>
        <v>Closed</v>
      </c>
      <c r="H133" t="s">
        <v>137</v>
      </c>
      <c r="I133" s="12" t="s">
        <v>22</v>
      </c>
      <c r="K133" s="8" t="s">
        <v>10</v>
      </c>
      <c r="M133" s="9">
        <v>46142</v>
      </c>
      <c r="N133" s="9" t="s">
        <v>451</v>
      </c>
      <c r="O133" s="9" t="str">
        <f>_xlfn.XLOOKUP(Log_2026[[#This Row],[Requestor name]], ID_Key[Requestor name], ID_Key[Requestor ID], "")</f>
        <v>RID0094</v>
      </c>
      <c r="P133" s="7"/>
      <c r="Q133" s="50"/>
      <c r="S133" s="28">
        <f>IF(OR(Log_2026[[#This Row],[Closed Date:]]="",Log_2026[[#This Row],[Closed Date:]]&lt;Log_2026[[#This Row],[Date of Complaint:]]),"",Log_2026[[#This Row],[Closed Date:]]-Log_2026[[#This Row],[Date of Complaint:]])</f>
        <v>13</v>
      </c>
      <c r="T133" s="12">
        <v>46154</v>
      </c>
      <c r="W133" s="30"/>
      <c r="X133" s="30"/>
      <c r="Y133" s="59"/>
    </row>
    <row r="134" spans="1:26" x14ac:dyDescent="0.3">
      <c r="A134" s="6" cm="1">
        <f t="array" ref="A134">ROW()-ROW(Log_2026[#Headers])</f>
        <v>131</v>
      </c>
      <c r="B134" s="8" t="str">
        <f xml:space="preserve"> Log_2026[[#This Row],[Count]] &amp; "-26"</f>
        <v>131-26</v>
      </c>
      <c r="C134" s="9">
        <v>46141</v>
      </c>
      <c r="D134" s="2" t="s">
        <v>452</v>
      </c>
      <c r="E134" s="7" t="s">
        <v>453</v>
      </c>
      <c r="G134" t="str">
        <f ca="1">IF(Log_2026[[#This Row],[Date of Complaint:]]="","",IF(Log_2026[[#This Row],[Closed Date:]]&lt;&gt;"","Closed",TODAY()-Log_2026[[#This Row],[Date of Complaint:]]))</f>
        <v>Closed</v>
      </c>
      <c r="H134" t="s">
        <v>137</v>
      </c>
      <c r="I134" s="12" t="s">
        <v>22</v>
      </c>
      <c r="K134" s="8" t="s">
        <v>10</v>
      </c>
      <c r="M134" s="9">
        <v>46142</v>
      </c>
      <c r="N134" s="9" t="s">
        <v>454</v>
      </c>
      <c r="O134" s="9" t="str">
        <f>_xlfn.XLOOKUP(Log_2026[[#This Row],[Requestor name]], ID_Key[Requestor name], ID_Key[Requestor ID], "")</f>
        <v>RID0095</v>
      </c>
      <c r="P134" s="7"/>
      <c r="Q134" s="50"/>
      <c r="S134" s="28">
        <f>IF(OR(Log_2026[[#This Row],[Closed Date:]]="",Log_2026[[#This Row],[Closed Date:]]&lt;Log_2026[[#This Row],[Date of Complaint:]]),"",Log_2026[[#This Row],[Closed Date:]]-Log_2026[[#This Row],[Date of Complaint:]])</f>
        <v>6</v>
      </c>
      <c r="T134" s="12">
        <v>46147</v>
      </c>
      <c r="W134" s="30"/>
      <c r="X134" s="30"/>
      <c r="Y134" s="59"/>
    </row>
    <row r="135" spans="1:26" x14ac:dyDescent="0.3">
      <c r="A135" s="6" cm="1">
        <f t="array" ref="A135">ROW()-ROW(Log_2026[#Headers])</f>
        <v>132</v>
      </c>
      <c r="B135" s="8" t="str">
        <f xml:space="preserve"> Log_2026[[#This Row],[Count]] &amp; "-26"</f>
        <v>132-26</v>
      </c>
      <c r="C135" s="9">
        <v>46142</v>
      </c>
      <c r="D135" s="2" t="s">
        <v>455</v>
      </c>
      <c r="E135" s="7" t="s">
        <v>456</v>
      </c>
      <c r="G135">
        <f ca="1">IF(Log_2026[[#This Row],[Date of Complaint:]]="","",IF(Log_2026[[#This Row],[Closed Date:]]&lt;&gt;"","Closed",TODAY()-Log_2026[[#This Row],[Date of Complaint:]]))</f>
        <v>24</v>
      </c>
      <c r="H135" t="s">
        <v>137</v>
      </c>
      <c r="I135" s="12" t="s">
        <v>59</v>
      </c>
      <c r="K135" s="8" t="s">
        <v>10</v>
      </c>
      <c r="M135" s="9">
        <v>46142</v>
      </c>
      <c r="N135" s="9" t="s">
        <v>457</v>
      </c>
      <c r="O135" s="9" t="str">
        <f>_xlfn.XLOOKUP(Log_2026[[#This Row],[Requestor name]], ID_Key[Requestor name], ID_Key[Requestor ID], "")</f>
        <v>RID0096</v>
      </c>
      <c r="P135" s="7"/>
      <c r="Q135" s="50"/>
      <c r="S135" s="28" t="str">
        <f>IF(OR(Log_2026[[#This Row],[Closed Date:]]="",Log_2026[[#This Row],[Closed Date:]]&lt;Log_2026[[#This Row],[Date of Complaint:]]),"",Log_2026[[#This Row],[Closed Date:]]-Log_2026[[#This Row],[Date of Complaint:]])</f>
        <v/>
      </c>
      <c r="W135" s="30"/>
      <c r="X135" s="30"/>
      <c r="Y135" s="59"/>
    </row>
    <row r="136" spans="1:26" x14ac:dyDescent="0.3">
      <c r="A136" s="6" cm="1">
        <f t="array" ref="A136">ROW()-ROW(Log_2026[#Headers])</f>
        <v>133</v>
      </c>
      <c r="B136" s="8" t="str">
        <f xml:space="preserve"> Log_2026[[#This Row],[Count]] &amp; "-26"</f>
        <v>133-26</v>
      </c>
      <c r="C136" s="9">
        <v>46143</v>
      </c>
      <c r="D136" s="2" t="s">
        <v>458</v>
      </c>
      <c r="E136" s="7" t="s">
        <v>459</v>
      </c>
      <c r="G136" t="str">
        <f ca="1">IF(Log_2026[[#This Row],[Date of Complaint:]]="","",IF(Log_2026[[#This Row],[Closed Date:]]&lt;&gt;"","Closed",TODAY()-Log_2026[[#This Row],[Date of Complaint:]]))</f>
        <v>Closed</v>
      </c>
      <c r="H136" t="s">
        <v>137</v>
      </c>
      <c r="I136" s="12" t="s">
        <v>22</v>
      </c>
      <c r="K136" s="8" t="s">
        <v>10</v>
      </c>
      <c r="M136" s="9">
        <v>46143</v>
      </c>
      <c r="N136" s="9" t="s">
        <v>15</v>
      </c>
      <c r="O136" s="9" t="str">
        <f>_xlfn.XLOOKUP(Log_2026[[#This Row],[Requestor name]], ID_Key[Requestor name], ID_Key[Requestor ID], "")</f>
        <v>RID0050</v>
      </c>
      <c r="P136" s="7"/>
      <c r="Q136" s="50"/>
      <c r="S136" s="28">
        <f>IF(OR(Log_2026[[#This Row],[Closed Date:]]="",Log_2026[[#This Row],[Closed Date:]]&lt;Log_2026[[#This Row],[Date of Complaint:]]),"",Log_2026[[#This Row],[Closed Date:]]-Log_2026[[#This Row],[Date of Complaint:]])</f>
        <v>13</v>
      </c>
      <c r="T136" s="12">
        <v>46156</v>
      </c>
      <c r="W136" s="30"/>
      <c r="X136" s="30"/>
      <c r="Y136" s="59"/>
    </row>
    <row r="137" spans="1:26" x14ac:dyDescent="0.3">
      <c r="A137" s="6" cm="1">
        <f t="array" ref="A137">ROW()-ROW(Log_2026[#Headers])</f>
        <v>134</v>
      </c>
      <c r="B137" s="8" t="str">
        <f xml:space="preserve"> Log_2026[[#This Row],[Count]] &amp; "-26"</f>
        <v>134-26</v>
      </c>
      <c r="C137" s="9">
        <v>46143</v>
      </c>
      <c r="D137" s="2" t="s">
        <v>460</v>
      </c>
      <c r="E137" s="7" t="s">
        <v>461</v>
      </c>
      <c r="G137" t="str">
        <f ca="1">IF(Log_2026[[#This Row],[Date of Complaint:]]="","",IF(Log_2026[[#This Row],[Closed Date:]]&lt;&gt;"","Closed",TODAY()-Log_2026[[#This Row],[Date of Complaint:]]))</f>
        <v>Closed</v>
      </c>
      <c r="H137" t="s">
        <v>137</v>
      </c>
      <c r="I137" s="12" t="s">
        <v>22</v>
      </c>
      <c r="K137" s="8" t="s">
        <v>10</v>
      </c>
      <c r="M137" s="9">
        <v>46143</v>
      </c>
      <c r="N137" s="9" t="s">
        <v>15</v>
      </c>
      <c r="O137" s="9" t="str">
        <f>_xlfn.XLOOKUP(Log_2026[[#This Row],[Requestor name]], ID_Key[Requestor name], ID_Key[Requestor ID], "")</f>
        <v>RID0050</v>
      </c>
      <c r="P137" s="7"/>
      <c r="Q137" s="50"/>
      <c r="S137" s="28">
        <f>IF(OR(Log_2026[[#This Row],[Closed Date:]]="",Log_2026[[#This Row],[Closed Date:]]&lt;Log_2026[[#This Row],[Date of Complaint:]]),"",Log_2026[[#This Row],[Closed Date:]]-Log_2026[[#This Row],[Date of Complaint:]])</f>
        <v>13</v>
      </c>
      <c r="T137" s="12">
        <v>46156</v>
      </c>
      <c r="W137" s="30"/>
      <c r="X137" s="30"/>
      <c r="Y137" s="59"/>
    </row>
    <row r="138" spans="1:26" x14ac:dyDescent="0.3">
      <c r="A138" s="6" cm="1">
        <f t="array" ref="A138">ROW()-ROW(Log_2026[#Headers])</f>
        <v>135</v>
      </c>
      <c r="B138" s="8" t="str">
        <f xml:space="preserve"> Log_2026[[#This Row],[Count]] &amp; "-26"</f>
        <v>135-26</v>
      </c>
      <c r="C138" s="9">
        <v>46146</v>
      </c>
      <c r="D138" s="2" t="s">
        <v>462</v>
      </c>
      <c r="E138" s="7" t="s">
        <v>463</v>
      </c>
      <c r="G138" t="str">
        <f ca="1">IF(Log_2026[[#This Row],[Date of Complaint:]]="","",IF(Log_2026[[#This Row],[Closed Date:]]&lt;&gt;"","Closed",TODAY()-Log_2026[[#This Row],[Date of Complaint:]]))</f>
        <v>Closed</v>
      </c>
      <c r="H138" t="s">
        <v>137</v>
      </c>
      <c r="I138" s="12" t="s">
        <v>22</v>
      </c>
      <c r="K138" s="8" t="s">
        <v>322</v>
      </c>
      <c r="M138" s="9">
        <v>46146</v>
      </c>
      <c r="N138" s="9" t="s">
        <v>464</v>
      </c>
      <c r="O138" s="9" t="str">
        <f>_xlfn.XLOOKUP(Log_2026[[#This Row],[Requestor name]], ID_Key[Requestor name], ID_Key[Requestor ID], "")</f>
        <v>RID0097</v>
      </c>
      <c r="P138" s="7"/>
      <c r="Q138" s="50"/>
      <c r="S138" s="28">
        <f>IF(OR(Log_2026[[#This Row],[Closed Date:]]="",Log_2026[[#This Row],[Closed Date:]]&lt;Log_2026[[#This Row],[Date of Complaint:]]),"",Log_2026[[#This Row],[Closed Date:]]-Log_2026[[#This Row],[Date of Complaint:]])</f>
        <v>0</v>
      </c>
      <c r="T138" s="12">
        <v>46146</v>
      </c>
      <c r="W138" s="30"/>
      <c r="X138" s="30"/>
      <c r="Y138" s="59"/>
    </row>
    <row r="139" spans="1:26" x14ac:dyDescent="0.3">
      <c r="A139" s="6" cm="1">
        <f t="array" ref="A139">ROW()-ROW(Log_2026[#Headers])</f>
        <v>136</v>
      </c>
      <c r="B139" s="8" t="str">
        <f xml:space="preserve"> Log_2026[[#This Row],[Count]] &amp; "-26"</f>
        <v>136-26</v>
      </c>
      <c r="C139" s="9">
        <v>46146</v>
      </c>
      <c r="D139" s="2" t="s">
        <v>25</v>
      </c>
      <c r="E139" s="7" t="s">
        <v>465</v>
      </c>
      <c r="G139">
        <f ca="1">IF(Log_2026[[#This Row],[Date of Complaint:]]="","",IF(Log_2026[[#This Row],[Closed Date:]]&lt;&gt;"","Closed",TODAY()-Log_2026[[#This Row],[Date of Complaint:]]))</f>
        <v>20</v>
      </c>
      <c r="H139" t="s">
        <v>137</v>
      </c>
      <c r="I139" s="12" t="s">
        <v>59</v>
      </c>
      <c r="K139" s="8" t="s">
        <v>73</v>
      </c>
      <c r="M139" s="9">
        <v>46146</v>
      </c>
      <c r="N139" s="9" t="s">
        <v>466</v>
      </c>
      <c r="O139" s="9" t="str">
        <f>_xlfn.XLOOKUP(Log_2026[[#This Row],[Requestor name]], ID_Key[Requestor name], ID_Key[Requestor ID], "")</f>
        <v>RID0098</v>
      </c>
      <c r="P139" s="7" t="s">
        <v>467</v>
      </c>
      <c r="Q139" s="50"/>
      <c r="S139" s="28" t="str">
        <f>IF(OR(Log_2026[[#This Row],[Closed Date:]]="",Log_2026[[#This Row],[Closed Date:]]&lt;Log_2026[[#This Row],[Date of Complaint:]]),"",Log_2026[[#This Row],[Closed Date:]]-Log_2026[[#This Row],[Date of Complaint:]])</f>
        <v/>
      </c>
      <c r="W139" s="30"/>
      <c r="X139" s="30"/>
      <c r="Y139" s="59"/>
    </row>
    <row r="140" spans="1:26" ht="74.25" customHeight="1" x14ac:dyDescent="0.3">
      <c r="A140" s="6" cm="1">
        <f t="array" ref="A140">ROW()-ROW(Log_2026[#Headers])</f>
        <v>137</v>
      </c>
      <c r="B140" s="8" t="str">
        <f xml:space="preserve"> Log_2026[[#This Row],[Count]] &amp; "-26"</f>
        <v>137-26</v>
      </c>
      <c r="C140" s="9">
        <v>46142</v>
      </c>
      <c r="D140" s="2" t="s">
        <v>14</v>
      </c>
      <c r="E140" s="7" t="s">
        <v>468</v>
      </c>
      <c r="F140" t="s">
        <v>209</v>
      </c>
      <c r="G140" t="str">
        <f ca="1">IF(Log_2026[[#This Row],[Date of Complaint:]]="","",IF(Log_2026[[#This Row],[Closed Date:]]&lt;&gt;"","Closed",TODAY()-Log_2026[[#This Row],[Date of Complaint:]]))</f>
        <v>Closed</v>
      </c>
      <c r="H140" t="s">
        <v>263</v>
      </c>
      <c r="I140" s="12" t="s">
        <v>22</v>
      </c>
      <c r="J140" s="12" t="s">
        <v>219</v>
      </c>
      <c r="K140" s="8" t="s">
        <v>21</v>
      </c>
      <c r="L140" s="1" t="s">
        <v>11</v>
      </c>
      <c r="M140" s="9">
        <v>46146</v>
      </c>
      <c r="N140" s="9" t="s">
        <v>29</v>
      </c>
      <c r="O140" s="9" t="str">
        <f>_xlfn.XLOOKUP(Log_2026[[#This Row],[Requestor name]], ID_Key[Requestor name], ID_Key[Requestor ID], "")</f>
        <v>RID0010</v>
      </c>
      <c r="P140" s="7"/>
      <c r="Q140" s="50">
        <v>46146</v>
      </c>
      <c r="S140" s="28">
        <f>IF(OR(Log_2026[[#This Row],[Closed Date:]]="",Log_2026[[#This Row],[Closed Date:]]&lt;Log_2026[[#This Row],[Date of Complaint:]]),"",Log_2026[[#This Row],[Closed Date:]]-Log_2026[[#This Row],[Date of Complaint:]])</f>
        <v>14</v>
      </c>
      <c r="T140" s="12">
        <v>46156</v>
      </c>
      <c r="U140" s="28">
        <v>19</v>
      </c>
      <c r="V140" s="29">
        <v>0.14583333333333334</v>
      </c>
      <c r="W140" s="30">
        <v>0</v>
      </c>
      <c r="X140" s="30">
        <v>0</v>
      </c>
      <c r="Y140" s="59">
        <v>0.14583333333333334</v>
      </c>
    </row>
    <row r="141" spans="1:26" ht="72" x14ac:dyDescent="0.3">
      <c r="A141" s="6" cm="1">
        <f t="array" ref="A141">ROW()-ROW(Log_2026[#Headers])</f>
        <v>138</v>
      </c>
      <c r="B141" s="8" t="str">
        <f xml:space="preserve"> Log_2026[[#This Row],[Count]] &amp; "-26"</f>
        <v>138-26</v>
      </c>
      <c r="C141" s="9">
        <v>46142</v>
      </c>
      <c r="D141" s="2" t="s">
        <v>14</v>
      </c>
      <c r="E141" s="7" t="s">
        <v>469</v>
      </c>
      <c r="F141" t="s">
        <v>209</v>
      </c>
      <c r="G141" t="str">
        <f ca="1">IF(Log_2026[[#This Row],[Date of Complaint:]]="","",IF(Log_2026[[#This Row],[Closed Date:]]&lt;&gt;"","Closed",TODAY()-Log_2026[[#This Row],[Date of Complaint:]]))</f>
        <v>Closed</v>
      </c>
      <c r="H141" t="s">
        <v>263</v>
      </c>
      <c r="I141" s="12" t="s">
        <v>22</v>
      </c>
      <c r="J141" s="12" t="s">
        <v>219</v>
      </c>
      <c r="K141" s="8" t="s">
        <v>11</v>
      </c>
      <c r="L141" s="1" t="s">
        <v>21</v>
      </c>
      <c r="M141" s="9">
        <v>46146</v>
      </c>
      <c r="N141" s="9" t="s">
        <v>29</v>
      </c>
      <c r="O141" s="9" t="str">
        <f>_xlfn.XLOOKUP(Log_2026[[#This Row],[Requestor name]], ID_Key[Requestor name], ID_Key[Requestor ID], "")</f>
        <v>RID0010</v>
      </c>
      <c r="P141" s="7"/>
      <c r="Q141" s="50">
        <v>46146</v>
      </c>
      <c r="S141" s="28">
        <f>IF(OR(Log_2026[[#This Row],[Closed Date:]]="",Log_2026[[#This Row],[Closed Date:]]&lt;Log_2026[[#This Row],[Date of Complaint:]]),"",Log_2026[[#This Row],[Closed Date:]]-Log_2026[[#This Row],[Date of Complaint:]])</f>
        <v>14</v>
      </c>
      <c r="T141" s="12">
        <v>46156</v>
      </c>
      <c r="U141" s="28">
        <v>26</v>
      </c>
      <c r="V141" s="29">
        <v>8.1944444444444445E-2</v>
      </c>
      <c r="W141" s="30">
        <v>0</v>
      </c>
      <c r="X141" s="30">
        <v>0</v>
      </c>
      <c r="Y141" s="59">
        <v>8.1944444444444445E-2</v>
      </c>
    </row>
    <row r="142" spans="1:26" x14ac:dyDescent="0.3">
      <c r="A142" s="6" cm="1">
        <f t="array" ref="A142">ROW()-ROW(Log_2026[#Headers])</f>
        <v>139</v>
      </c>
      <c r="B142" s="8" t="str">
        <f xml:space="preserve"> Log_2026[[#This Row],[Count]] &amp; "-26"</f>
        <v>139-26</v>
      </c>
      <c r="C142" s="9">
        <v>46147</v>
      </c>
      <c r="D142" s="2" t="s">
        <v>470</v>
      </c>
      <c r="E142" s="7" t="s">
        <v>471</v>
      </c>
      <c r="G142" t="str">
        <f ca="1">IF(Log_2026[[#This Row],[Date of Complaint:]]="","",IF(Log_2026[[#This Row],[Closed Date:]]&lt;&gt;"","Closed",TODAY()-Log_2026[[#This Row],[Date of Complaint:]]))</f>
        <v>Closed</v>
      </c>
      <c r="H142" t="s">
        <v>137</v>
      </c>
      <c r="I142" s="12" t="s">
        <v>22</v>
      </c>
      <c r="K142" s="8" t="s">
        <v>73</v>
      </c>
      <c r="M142" s="9">
        <v>46147</v>
      </c>
      <c r="N142" s="9" t="s">
        <v>472</v>
      </c>
      <c r="O142" s="9" t="str">
        <f>_xlfn.XLOOKUP(Log_2026[[#This Row],[Requestor name]], ID_Key[Requestor name], ID_Key[Requestor ID], "")</f>
        <v>RID0099</v>
      </c>
      <c r="P142" s="7"/>
      <c r="Q142" s="50"/>
      <c r="S142" s="28">
        <f>IF(OR(Log_2026[[#This Row],[Closed Date:]]="",Log_2026[[#This Row],[Closed Date:]]&lt;Log_2026[[#This Row],[Date of Complaint:]]),"",Log_2026[[#This Row],[Closed Date:]]-Log_2026[[#This Row],[Date of Complaint:]])</f>
        <v>1</v>
      </c>
      <c r="T142" s="12">
        <v>46148</v>
      </c>
      <c r="W142" s="30"/>
      <c r="X142" s="30"/>
      <c r="Y142" s="59"/>
    </row>
    <row r="143" spans="1:26" ht="28.8" x14ac:dyDescent="0.3">
      <c r="A143" s="6" cm="1">
        <f t="array" ref="A143">ROW()-ROW(Log_2026[#Headers])</f>
        <v>140</v>
      </c>
      <c r="B143" s="8" t="str">
        <f xml:space="preserve"> Log_2026[[#This Row],[Count]] &amp; "-26"</f>
        <v>140-26</v>
      </c>
      <c r="C143" s="9">
        <v>46146</v>
      </c>
      <c r="D143" s="2" t="s">
        <v>14</v>
      </c>
      <c r="E143" s="7" t="s">
        <v>473</v>
      </c>
      <c r="F143" t="s">
        <v>133</v>
      </c>
      <c r="G143">
        <f ca="1">IF(Log_2026[[#This Row],[Date of Complaint:]]="","",IF(Log_2026[[#This Row],[Closed Date:]]&lt;&gt;"","Closed",TODAY()-Log_2026[[#This Row],[Date of Complaint:]]))</f>
        <v>20</v>
      </c>
      <c r="H143" t="s">
        <v>141</v>
      </c>
      <c r="I143" s="12" t="s">
        <v>59</v>
      </c>
      <c r="J143" s="12" t="s">
        <v>219</v>
      </c>
      <c r="K143" s="8" t="s">
        <v>11</v>
      </c>
      <c r="L143" s="1" t="s">
        <v>319</v>
      </c>
      <c r="M143" s="9">
        <v>46147</v>
      </c>
      <c r="N143" s="9" t="s">
        <v>143</v>
      </c>
      <c r="O143" s="9" t="str">
        <f>_xlfn.XLOOKUP(Log_2026[[#This Row],[Requestor name]], ID_Key[Requestor name], ID_Key[Requestor ID], "")</f>
        <v>RID0005</v>
      </c>
      <c r="P143" s="7"/>
      <c r="Q143" s="50">
        <v>46148</v>
      </c>
      <c r="S143" s="28" t="str">
        <f>IF(OR(Log_2026[[#This Row],[Closed Date:]]="",Log_2026[[#This Row],[Closed Date:]]&lt;Log_2026[[#This Row],[Date of Complaint:]]),"",Log_2026[[#This Row],[Closed Date:]]-Log_2026[[#This Row],[Date of Complaint:]])</f>
        <v/>
      </c>
      <c r="U143" s="28">
        <v>113</v>
      </c>
      <c r="V143" s="29">
        <v>5.9722222222222225E-2</v>
      </c>
      <c r="W143" s="30">
        <v>0</v>
      </c>
      <c r="X143" s="30">
        <v>0</v>
      </c>
      <c r="Y143" s="59">
        <v>5.9722222222222225E-2</v>
      </c>
    </row>
    <row r="144" spans="1:26" x14ac:dyDescent="0.3">
      <c r="A144" s="6" cm="1">
        <f t="array" ref="A144">ROW()-ROW(Log_2026[#Headers])</f>
        <v>141</v>
      </c>
      <c r="B144" s="8" t="str">
        <f xml:space="preserve"> Log_2026[[#This Row],[Count]] &amp; "-26"</f>
        <v>141-26</v>
      </c>
      <c r="C144" s="9">
        <v>46148</v>
      </c>
      <c r="D144" s="2" t="s">
        <v>14</v>
      </c>
      <c r="E144" s="7" t="s">
        <v>474</v>
      </c>
      <c r="F144" t="s">
        <v>475</v>
      </c>
      <c r="G144" t="str">
        <f ca="1">IF(Log_2026[[#This Row],[Date of Complaint:]]="","",IF(Log_2026[[#This Row],[Closed Date:]]&lt;&gt;"","Closed",TODAY()-Log_2026[[#This Row],[Date of Complaint:]]))</f>
        <v>Closed</v>
      </c>
      <c r="H144" t="s">
        <v>291</v>
      </c>
      <c r="I144" s="12" t="s">
        <v>22</v>
      </c>
      <c r="J144" s="12" t="s">
        <v>64</v>
      </c>
      <c r="K144" s="8" t="s">
        <v>73</v>
      </c>
      <c r="L144" s="1" t="s">
        <v>11</v>
      </c>
      <c r="M144" s="9">
        <v>46149</v>
      </c>
      <c r="N144" s="9" t="s">
        <v>476</v>
      </c>
      <c r="O144" s="9" t="str">
        <f>_xlfn.XLOOKUP(Log_2026[[#This Row],[Requestor name]], ID_Key[Requestor name], ID_Key[Requestor ID], "")</f>
        <v>RID0100</v>
      </c>
      <c r="P144" s="7"/>
      <c r="Q144" s="50">
        <v>46149</v>
      </c>
      <c r="S144" s="28">
        <f>IF(OR(Log_2026[[#This Row],[Closed Date:]]="",Log_2026[[#This Row],[Closed Date:]]&lt;Log_2026[[#This Row],[Date of Complaint:]]),"",Log_2026[[#This Row],[Closed Date:]]-Log_2026[[#This Row],[Date of Complaint:]])</f>
        <v>6</v>
      </c>
      <c r="T144" s="12">
        <v>46154</v>
      </c>
      <c r="U144" s="28">
        <v>4</v>
      </c>
      <c r="V144" s="29">
        <v>2.5000000000000001E-2</v>
      </c>
      <c r="W144" s="30">
        <v>2.25</v>
      </c>
      <c r="X144" s="30">
        <v>2.25</v>
      </c>
      <c r="Y144" s="59">
        <v>2.5000000000000001E-2</v>
      </c>
    </row>
    <row r="145" spans="1:26" x14ac:dyDescent="0.3">
      <c r="A145" s="6" cm="1">
        <f t="array" ref="A145">ROW()-ROW(Log_2026[#Headers])</f>
        <v>142</v>
      </c>
      <c r="B145" s="8" t="str">
        <f xml:space="preserve"> Log_2026[[#This Row],[Count]] &amp; "-26"</f>
        <v>142-26</v>
      </c>
      <c r="C145" s="9">
        <v>46149</v>
      </c>
      <c r="D145" s="2" t="s">
        <v>14</v>
      </c>
      <c r="E145" s="7" t="s">
        <v>477</v>
      </c>
      <c r="F145" t="s">
        <v>475</v>
      </c>
      <c r="G145" t="str">
        <f ca="1">IF(Log_2026[[#This Row],[Date of Complaint:]]="","",IF(Log_2026[[#This Row],[Closed Date:]]&lt;&gt;"","Closed",TODAY()-Log_2026[[#This Row],[Date of Complaint:]]))</f>
        <v>Closed</v>
      </c>
      <c r="H145" t="s">
        <v>137</v>
      </c>
      <c r="I145" s="12" t="s">
        <v>22</v>
      </c>
      <c r="J145" s="12" t="s">
        <v>64</v>
      </c>
      <c r="K145" s="8" t="s">
        <v>11</v>
      </c>
      <c r="M145" s="9">
        <v>46149</v>
      </c>
      <c r="N145" s="9" t="s">
        <v>478</v>
      </c>
      <c r="O145" s="9" t="str">
        <f>_xlfn.XLOOKUP(Log_2026[[#This Row],[Requestor name]], ID_Key[Requestor name], ID_Key[Requestor ID], "")</f>
        <v>RID0101</v>
      </c>
      <c r="P145" s="7"/>
      <c r="Q145" s="50">
        <v>46149</v>
      </c>
      <c r="S145" s="28">
        <f>IF(OR(Log_2026[[#This Row],[Closed Date:]]="",Log_2026[[#This Row],[Closed Date:]]&lt;Log_2026[[#This Row],[Date of Complaint:]]),"",Log_2026[[#This Row],[Closed Date:]]-Log_2026[[#This Row],[Date of Complaint:]])</f>
        <v>0</v>
      </c>
      <c r="T145" s="12">
        <v>46149</v>
      </c>
      <c r="U145" s="28">
        <v>0</v>
      </c>
      <c r="V145" s="29">
        <v>0</v>
      </c>
      <c r="W145" s="30">
        <v>0</v>
      </c>
      <c r="X145" s="30">
        <v>0</v>
      </c>
      <c r="Y145" s="59">
        <v>0</v>
      </c>
    </row>
    <row r="146" spans="1:26" x14ac:dyDescent="0.3">
      <c r="A146" s="6" cm="1">
        <f t="array" ref="A146">ROW()-ROW(Log_2026[#Headers])</f>
        <v>143</v>
      </c>
      <c r="B146" s="8" t="str">
        <f xml:space="preserve"> Log_2026[[#This Row],[Count]] &amp; "-26"</f>
        <v>143-26</v>
      </c>
      <c r="C146" s="9">
        <v>46149</v>
      </c>
      <c r="D146" s="2" t="s">
        <v>479</v>
      </c>
      <c r="E146" s="7" t="s">
        <v>480</v>
      </c>
      <c r="G146" t="str">
        <f ca="1">IF(Log_2026[[#This Row],[Date of Complaint:]]="","",IF(Log_2026[[#This Row],[Closed Date:]]&lt;&gt;"","Closed",TODAY()-Log_2026[[#This Row],[Date of Complaint:]]))</f>
        <v>Closed</v>
      </c>
      <c r="H146" t="s">
        <v>137</v>
      </c>
      <c r="I146" s="12" t="s">
        <v>22</v>
      </c>
      <c r="K146" s="8" t="s">
        <v>10</v>
      </c>
      <c r="M146" s="9">
        <v>46149</v>
      </c>
      <c r="N146" s="9" t="s">
        <v>481</v>
      </c>
      <c r="O146" s="9" t="str">
        <f>_xlfn.XLOOKUP(Log_2026[[#This Row],[Requestor name]], ID_Key[Requestor name], ID_Key[Requestor ID], "")</f>
        <v>RID0102</v>
      </c>
      <c r="P146" s="7"/>
      <c r="Q146" s="50"/>
      <c r="S146" s="28">
        <f>IF(OR(Log_2026[[#This Row],[Closed Date:]]="",Log_2026[[#This Row],[Closed Date:]]&lt;Log_2026[[#This Row],[Date of Complaint:]]),"",Log_2026[[#This Row],[Closed Date:]]-Log_2026[[#This Row],[Date of Complaint:]])</f>
        <v>6</v>
      </c>
      <c r="T146" s="12">
        <v>46155</v>
      </c>
      <c r="W146" s="30"/>
      <c r="X146" s="30"/>
      <c r="Y146" s="59"/>
    </row>
    <row r="147" spans="1:26" x14ac:dyDescent="0.3">
      <c r="A147" s="6" cm="1">
        <f t="array" ref="A147">ROW()-ROW(Log_2026[#Headers])</f>
        <v>144</v>
      </c>
      <c r="B147" s="8" t="str">
        <f xml:space="preserve"> Log_2026[[#This Row],[Count]] &amp; "-26"</f>
        <v>144-26</v>
      </c>
      <c r="C147" s="9">
        <v>46149</v>
      </c>
      <c r="D147" s="2" t="s">
        <v>428</v>
      </c>
      <c r="E147" s="7" t="s">
        <v>17</v>
      </c>
      <c r="G147" t="str">
        <f ca="1">IF(Log_2026[[#This Row],[Date of Complaint:]]="","",IF(Log_2026[[#This Row],[Closed Date:]]&lt;&gt;"","Closed",TODAY()-Log_2026[[#This Row],[Date of Complaint:]]))</f>
        <v>Closed</v>
      </c>
      <c r="H147" t="s">
        <v>137</v>
      </c>
      <c r="I147" s="12" t="s">
        <v>22</v>
      </c>
      <c r="K147" s="8" t="s">
        <v>10</v>
      </c>
      <c r="M147" s="9">
        <v>46149</v>
      </c>
      <c r="N147" s="9" t="s">
        <v>481</v>
      </c>
      <c r="O147" s="9" t="str">
        <f>_xlfn.XLOOKUP(Log_2026[[#This Row],[Requestor name]], ID_Key[Requestor name], ID_Key[Requestor ID], "")</f>
        <v>RID0102</v>
      </c>
      <c r="P147" s="7"/>
      <c r="Q147" s="50"/>
      <c r="S147" s="28">
        <f>IF(OR(Log_2026[[#This Row],[Closed Date:]]="",Log_2026[[#This Row],[Closed Date:]]&lt;Log_2026[[#This Row],[Date of Complaint:]]),"",Log_2026[[#This Row],[Closed Date:]]-Log_2026[[#This Row],[Date of Complaint:]])</f>
        <v>4</v>
      </c>
      <c r="T147" s="12">
        <v>46153</v>
      </c>
      <c r="W147" s="30"/>
      <c r="X147" s="30"/>
      <c r="Y147" s="59"/>
    </row>
    <row r="148" spans="1:26" ht="28.8" x14ac:dyDescent="0.3">
      <c r="A148" s="6" cm="1">
        <f t="array" ref="A148">ROW()-ROW(Log_2026[#Headers])</f>
        <v>145</v>
      </c>
      <c r="B148" s="8" t="str">
        <f xml:space="preserve"> Log_2026[[#This Row],[Count]] &amp; "-26"</f>
        <v>145-26</v>
      </c>
      <c r="C148" s="9">
        <v>46149</v>
      </c>
      <c r="D148" s="2" t="s">
        <v>14</v>
      </c>
      <c r="E148" s="7" t="s">
        <v>482</v>
      </c>
      <c r="F148" t="s">
        <v>475</v>
      </c>
      <c r="G148" t="str">
        <f ca="1">IF(Log_2026[[#This Row],[Date of Complaint:]]="","",IF(Log_2026[[#This Row],[Closed Date:]]&lt;&gt;"","Closed",TODAY()-Log_2026[[#This Row],[Date of Complaint:]]))</f>
        <v>Closed</v>
      </c>
      <c r="H148" t="s">
        <v>137</v>
      </c>
      <c r="I148" s="12" t="s">
        <v>22</v>
      </c>
      <c r="J148" s="12" t="s">
        <v>219</v>
      </c>
      <c r="K148" s="8" t="s">
        <v>9</v>
      </c>
      <c r="L148" s="1" t="s">
        <v>73</v>
      </c>
      <c r="M148" s="9">
        <v>46149</v>
      </c>
      <c r="N148" s="9" t="s">
        <v>483</v>
      </c>
      <c r="O148" s="9" t="str">
        <f>_xlfn.XLOOKUP(Log_2026[[#This Row],[Requestor name]], ID_Key[Requestor name], ID_Key[Requestor ID], "")</f>
        <v>RID0103</v>
      </c>
      <c r="P148" s="7"/>
      <c r="Q148" s="50">
        <v>46149</v>
      </c>
      <c r="S148" s="28">
        <f>IF(OR(Log_2026[[#This Row],[Closed Date:]]="",Log_2026[[#This Row],[Closed Date:]]&lt;Log_2026[[#This Row],[Date of Complaint:]]),"",Log_2026[[#This Row],[Closed Date:]]-Log_2026[[#This Row],[Date of Complaint:]])</f>
        <v>6</v>
      </c>
      <c r="T148" s="12">
        <v>46155</v>
      </c>
      <c r="U148" s="28">
        <v>13</v>
      </c>
      <c r="V148" s="29">
        <v>0.19444444444444445</v>
      </c>
      <c r="W148" s="30">
        <v>10</v>
      </c>
      <c r="X148" s="30">
        <v>0</v>
      </c>
      <c r="Y148" s="59">
        <v>0.19444444444444445</v>
      </c>
    </row>
    <row r="149" spans="1:26" x14ac:dyDescent="0.3">
      <c r="A149" s="6" cm="1">
        <f t="array" ref="A149">ROW()-ROW(Log_2026[#Headers])</f>
        <v>146</v>
      </c>
      <c r="B149" s="8" t="str">
        <f xml:space="preserve"> Log_2026[[#This Row],[Count]] &amp; "-26"</f>
        <v>146-26</v>
      </c>
      <c r="C149" s="9">
        <v>46149</v>
      </c>
      <c r="D149" s="2" t="s">
        <v>484</v>
      </c>
      <c r="E149" s="7" t="s">
        <v>485</v>
      </c>
      <c r="G149" t="str">
        <f ca="1">IF(Log_2026[[#This Row],[Date of Complaint:]]="","",IF(Log_2026[[#This Row],[Closed Date:]]&lt;&gt;"","Closed",TODAY()-Log_2026[[#This Row],[Date of Complaint:]]))</f>
        <v>Closed</v>
      </c>
      <c r="H149" t="s">
        <v>137</v>
      </c>
      <c r="I149" s="12" t="s">
        <v>22</v>
      </c>
      <c r="K149" s="8" t="s">
        <v>10</v>
      </c>
      <c r="M149" s="9">
        <v>46149</v>
      </c>
      <c r="N149" s="9" t="s">
        <v>112</v>
      </c>
      <c r="O149" s="9" t="str">
        <f>_xlfn.XLOOKUP(Log_2026[[#This Row],[Requestor name]], ID_Key[Requestor name], ID_Key[Requestor ID], "")</f>
        <v>RID0029</v>
      </c>
      <c r="P149" s="7"/>
      <c r="Q149" s="50"/>
      <c r="T149" s="12">
        <v>46153</v>
      </c>
      <c r="W149" s="30"/>
      <c r="X149" s="30"/>
      <c r="Y149" s="59"/>
    </row>
    <row r="150" spans="1:26" x14ac:dyDescent="0.3">
      <c r="A150" s="6" cm="1">
        <f t="array" ref="A150">ROW()-ROW(Log_2026[#Headers])</f>
        <v>147</v>
      </c>
      <c r="B150" s="8" t="str">
        <f xml:space="preserve"> Log_2026[[#This Row],[Count]] &amp; "-26"</f>
        <v>147-26</v>
      </c>
      <c r="C150" s="9">
        <v>46155</v>
      </c>
      <c r="D150" s="2" t="s">
        <v>486</v>
      </c>
      <c r="E150" s="7" t="s">
        <v>487</v>
      </c>
      <c r="G150">
        <f ca="1">IF(Log_2026[[#This Row],[Date of Complaint:]]="","",IF(Log_2026[[#This Row],[Closed Date:]]&lt;&gt;"","Closed",TODAY()-Log_2026[[#This Row],[Date of Complaint:]]))</f>
        <v>11</v>
      </c>
      <c r="H150" t="s">
        <v>137</v>
      </c>
      <c r="I150" s="12" t="s">
        <v>59</v>
      </c>
      <c r="K150" s="8" t="s">
        <v>9</v>
      </c>
      <c r="M150" s="9">
        <v>46155</v>
      </c>
      <c r="N150" s="9" t="s">
        <v>488</v>
      </c>
      <c r="O150" s="9" t="str">
        <f>_xlfn.XLOOKUP(Log_2026[[#This Row],[Requestor name]], ID_Key[Requestor name], ID_Key[Requestor ID], "")</f>
        <v>RID0104</v>
      </c>
      <c r="P150" s="7"/>
      <c r="Q150" s="50"/>
      <c r="S150" s="28" t="str">
        <f>IF(OR(Log_2026[[#This Row],[Closed Date:]]="",Log_2026[[#This Row],[Closed Date:]]&lt;Log_2026[[#This Row],[Date of Complaint:]]),"",Log_2026[[#This Row],[Closed Date:]]-Log_2026[[#This Row],[Date of Complaint:]])</f>
        <v/>
      </c>
      <c r="W150" s="30"/>
      <c r="X150" s="30"/>
      <c r="Y150" s="59"/>
    </row>
    <row r="151" spans="1:26" ht="28.8" x14ac:dyDescent="0.3">
      <c r="A151" s="6" cm="1">
        <f t="array" ref="A151">ROW()-ROW(Log_2026[#Headers])</f>
        <v>148</v>
      </c>
      <c r="B151" s="8" t="str">
        <f xml:space="preserve"> Log_2026[[#This Row],[Count]] &amp; "-26"</f>
        <v>148-26</v>
      </c>
      <c r="C151" s="9">
        <v>46160</v>
      </c>
      <c r="D151" s="2" t="s">
        <v>489</v>
      </c>
      <c r="E151" s="7" t="s">
        <v>490</v>
      </c>
      <c r="G151">
        <f ca="1">IF(Log_2026[[#This Row],[Date of Complaint:]]="","",IF(Log_2026[[#This Row],[Closed Date:]]&lt;&gt;"","Closed",TODAY()-Log_2026[[#This Row],[Date of Complaint:]]))</f>
        <v>6</v>
      </c>
      <c r="H151" t="s">
        <v>137</v>
      </c>
      <c r="I151" s="12" t="s">
        <v>59</v>
      </c>
      <c r="K151" s="8" t="s">
        <v>10</v>
      </c>
      <c r="M151" s="9">
        <v>46161</v>
      </c>
      <c r="N151" s="9" t="s">
        <v>437</v>
      </c>
      <c r="O151" s="9" t="str">
        <f>_xlfn.XLOOKUP(Log_2026[[#This Row],[Requestor name]], ID_Key[Requestor name], ID_Key[Requestor ID], "")</f>
        <v>RID0090</v>
      </c>
      <c r="P151" s="7"/>
      <c r="Q151" s="50"/>
      <c r="S151" s="28" t="str">
        <f>IF(OR(Log_2026[[#This Row],[Closed Date:]]="",Log_2026[[#This Row],[Closed Date:]]&lt;Log_2026[[#This Row],[Date of Complaint:]]),"",Log_2026[[#This Row],[Closed Date:]]-Log_2026[[#This Row],[Date of Complaint:]])</f>
        <v/>
      </c>
      <c r="W151" s="30"/>
      <c r="X151" s="30"/>
      <c r="Y151" s="59"/>
    </row>
    <row r="152" spans="1:26" x14ac:dyDescent="0.3">
      <c r="A152" s="6" cm="1">
        <f t="array" ref="A152">ROW()-ROW(Log_2026[#Headers])</f>
        <v>149</v>
      </c>
      <c r="B152" s="8" t="str">
        <f xml:space="preserve"> Log_2026[[#This Row],[Count]] &amp; "-26"</f>
        <v>149-26</v>
      </c>
      <c r="C152" s="9">
        <v>46159</v>
      </c>
      <c r="D152" s="2" t="s">
        <v>31</v>
      </c>
      <c r="E152" s="7" t="s">
        <v>18</v>
      </c>
      <c r="G152">
        <f ca="1">IF(Log_2026[[#This Row],[Date of Complaint:]]="","",IF(Log_2026[[#This Row],[Closed Date:]]&lt;&gt;"","Closed",TODAY()-Log_2026[[#This Row],[Date of Complaint:]]))</f>
        <v>7</v>
      </c>
      <c r="H152" t="s">
        <v>137</v>
      </c>
      <c r="I152" s="12" t="s">
        <v>59</v>
      </c>
      <c r="K152" s="8" t="s">
        <v>10</v>
      </c>
      <c r="M152" s="9">
        <v>46161</v>
      </c>
      <c r="N152" s="9" t="s">
        <v>491</v>
      </c>
      <c r="O152" s="9" t="str">
        <f>_xlfn.XLOOKUP(Log_2026[[#This Row],[Requestor name]], ID_Key[Requestor name], ID_Key[Requestor ID], "")</f>
        <v>RID0105</v>
      </c>
      <c r="P152" s="7"/>
      <c r="Q152" s="50"/>
      <c r="S152" s="28" t="str">
        <f>IF(OR(Log_2026[[#This Row],[Closed Date:]]="",Log_2026[[#This Row],[Closed Date:]]&lt;Log_2026[[#This Row],[Date of Complaint:]]),"",Log_2026[[#This Row],[Closed Date:]]-Log_2026[[#This Row],[Date of Complaint:]])</f>
        <v/>
      </c>
      <c r="W152" s="30"/>
      <c r="X152" s="30"/>
      <c r="Y152" s="59"/>
    </row>
    <row r="153" spans="1:26" x14ac:dyDescent="0.3">
      <c r="A153" s="6" cm="1">
        <f t="array" ref="A153">ROW()-ROW(Log_2026[#Headers])</f>
        <v>150</v>
      </c>
      <c r="B153" s="8" t="str">
        <f xml:space="preserve"> Log_2026[[#This Row],[Count]] &amp; "-26"</f>
        <v>150-26</v>
      </c>
      <c r="C153" s="9">
        <v>46157</v>
      </c>
      <c r="D153" s="2" t="s">
        <v>492</v>
      </c>
      <c r="E153" s="7" t="s">
        <v>18</v>
      </c>
      <c r="G153" t="str">
        <f ca="1">IF(Log_2026[[#This Row],[Date of Complaint:]]="","",IF(Log_2026[[#This Row],[Closed Date:]]&lt;&gt;"","Closed",TODAY()-Log_2026[[#This Row],[Date of Complaint:]]))</f>
        <v>Closed</v>
      </c>
      <c r="H153" t="s">
        <v>137</v>
      </c>
      <c r="I153" s="12" t="s">
        <v>22</v>
      </c>
      <c r="K153" s="8" t="s">
        <v>10</v>
      </c>
      <c r="M153" s="9">
        <v>46161</v>
      </c>
      <c r="N153" s="9" t="s">
        <v>112</v>
      </c>
      <c r="O153" s="9" t="str">
        <f>_xlfn.XLOOKUP(Log_2026[[#This Row],[Requestor name]], ID_Key[Requestor name], ID_Key[Requestor ID], "")</f>
        <v>RID0029</v>
      </c>
      <c r="P153" s="7"/>
      <c r="Q153" s="50"/>
      <c r="S153" s="28">
        <f>IF(OR(Log_2026[[#This Row],[Closed Date:]]="",Log_2026[[#This Row],[Closed Date:]]&lt;Log_2026[[#This Row],[Date of Complaint:]]),"",Log_2026[[#This Row],[Closed Date:]]-Log_2026[[#This Row],[Date of Complaint:]])</f>
        <v>4</v>
      </c>
      <c r="T153" s="12">
        <v>46161</v>
      </c>
      <c r="W153" s="30"/>
      <c r="X153" s="30"/>
      <c r="Y153" s="59"/>
    </row>
    <row r="154" spans="1:26" ht="28.8" x14ac:dyDescent="0.3">
      <c r="A154" s="6" cm="1">
        <f t="array" ref="A154">ROW()-ROW(Log_2026[#Headers])</f>
        <v>151</v>
      </c>
      <c r="B154" s="8" t="str">
        <f xml:space="preserve"> Log_2026[[#This Row],[Count]] &amp; "-26"</f>
        <v>151-26</v>
      </c>
      <c r="C154" s="9">
        <v>46155</v>
      </c>
      <c r="D154" s="2" t="s">
        <v>14</v>
      </c>
      <c r="E154" s="7" t="s">
        <v>493</v>
      </c>
      <c r="G154">
        <f ca="1">IF(Log_2026[[#This Row],[Date of Complaint:]]="","",IF(Log_2026[[#This Row],[Closed Date:]]&lt;&gt;"","Closed",TODAY()-Log_2026[[#This Row],[Date of Complaint:]]))</f>
        <v>11</v>
      </c>
      <c r="H154" t="s">
        <v>137</v>
      </c>
      <c r="I154" s="12" t="s">
        <v>59</v>
      </c>
      <c r="K154" s="8" t="s">
        <v>10</v>
      </c>
      <c r="M154" s="9">
        <v>46161</v>
      </c>
      <c r="N154" s="9" t="s">
        <v>494</v>
      </c>
      <c r="O154" s="9" t="str">
        <f>_xlfn.XLOOKUP(Log_2026[[#This Row],[Requestor name]], ID_Key[Requestor name], ID_Key[Requestor ID], "")</f>
        <v/>
      </c>
      <c r="P154" s="7"/>
      <c r="Q154" s="50">
        <v>46161</v>
      </c>
      <c r="R154" s="10">
        <v>46168</v>
      </c>
      <c r="S154" s="28" t="str">
        <f>IF(OR(Log_2026[[#This Row],[Closed Date:]]="",Log_2026[[#This Row],[Closed Date:]]&lt;Log_2026[[#This Row],[Date of Complaint:]]),"",Log_2026[[#This Row],[Closed Date:]]-Log_2026[[#This Row],[Date of Complaint:]])</f>
        <v/>
      </c>
      <c r="W154" s="30"/>
      <c r="X154" s="30"/>
      <c r="Y154" s="59"/>
    </row>
    <row r="155" spans="1:26" x14ac:dyDescent="0.3">
      <c r="A155" s="6" cm="1">
        <f t="array" ref="A155">ROW()-ROW(Log_2026[#Headers])</f>
        <v>152</v>
      </c>
      <c r="B155" s="8" t="str">
        <f xml:space="preserve"> Log_2026[[#This Row],[Count]] &amp; "-26"</f>
        <v>152-26</v>
      </c>
      <c r="C155" s="9">
        <v>46157</v>
      </c>
      <c r="D155" s="2" t="s">
        <v>14</v>
      </c>
      <c r="E155" s="7" t="s">
        <v>495</v>
      </c>
      <c r="F155" t="s">
        <v>209</v>
      </c>
      <c r="G155">
        <f ca="1">IF(Log_2026[[#This Row],[Date of Complaint:]]="","",IF(Log_2026[[#This Row],[Closed Date:]]&lt;&gt;"","Closed",TODAY()-Log_2026[[#This Row],[Date of Complaint:]]))</f>
        <v>9</v>
      </c>
      <c r="H155" t="s">
        <v>137</v>
      </c>
      <c r="I155" s="12" t="s">
        <v>59</v>
      </c>
      <c r="K155" s="8" t="s">
        <v>11</v>
      </c>
      <c r="L155" s="1" t="s">
        <v>21</v>
      </c>
      <c r="M155" s="9">
        <v>46162</v>
      </c>
      <c r="N155" s="9" t="s">
        <v>229</v>
      </c>
      <c r="O155" s="9" t="str">
        <f>_xlfn.XLOOKUP(Log_2026[[#This Row],[Requestor name]], ID_Key[Requestor name], ID_Key[Requestor ID], "")</f>
        <v>RID0003</v>
      </c>
      <c r="P155" s="7"/>
      <c r="Q155" s="50">
        <v>46162</v>
      </c>
      <c r="R155" s="10">
        <v>46171</v>
      </c>
      <c r="S155" s="28" t="str">
        <f>IF(OR(Log_2026[[#This Row],[Closed Date:]]="",Log_2026[[#This Row],[Closed Date:]]&lt;Log_2026[[#This Row],[Date of Complaint:]]),"",Log_2026[[#This Row],[Closed Date:]]-Log_2026[[#This Row],[Date of Complaint:]])</f>
        <v/>
      </c>
      <c r="W155" s="30"/>
      <c r="X155" s="30"/>
      <c r="Y155" s="59"/>
    </row>
    <row r="156" spans="1:26" x14ac:dyDescent="0.3">
      <c r="A156" s="6" cm="1">
        <f t="array" ref="A156">ROW()-ROW(Log_2026[#Headers])</f>
        <v>153</v>
      </c>
      <c r="B156" s="8" t="str">
        <f xml:space="preserve"> Log_2026[[#This Row],[Count]] &amp; "-26"</f>
        <v>153-26</v>
      </c>
      <c r="C156" s="9">
        <v>46162</v>
      </c>
      <c r="D156" s="2" t="s">
        <v>14</v>
      </c>
      <c r="E156" s="7" t="s">
        <v>496</v>
      </c>
      <c r="F156" t="s">
        <v>125</v>
      </c>
      <c r="G156">
        <f ca="1">IF(Log_2026[[#This Row],[Date of Complaint:]]="","",IF(Log_2026[[#This Row],[Closed Date:]]&lt;&gt;"","Closed",TODAY()-Log_2026[[#This Row],[Date of Complaint:]]))</f>
        <v>4</v>
      </c>
      <c r="H156" t="s">
        <v>137</v>
      </c>
      <c r="I156" s="12" t="s">
        <v>59</v>
      </c>
      <c r="K156" s="8" t="s">
        <v>11</v>
      </c>
      <c r="L156" s="1" t="s">
        <v>134</v>
      </c>
      <c r="M156" s="9">
        <v>46162</v>
      </c>
      <c r="N156" s="9" t="s">
        <v>229</v>
      </c>
      <c r="O156" s="9" t="str">
        <f>_xlfn.XLOOKUP(Log_2026[[#This Row],[Requestor name]], ID_Key[Requestor name], ID_Key[Requestor ID], "")</f>
        <v>RID0003</v>
      </c>
      <c r="P156" s="7"/>
      <c r="Q156" s="50">
        <v>46167</v>
      </c>
      <c r="S156" s="28" t="str">
        <f>IF(OR(Log_2026[[#This Row],[Closed Date:]]="",Log_2026[[#This Row],[Closed Date:]]&lt;Log_2026[[#This Row],[Date of Complaint:]]),"",Log_2026[[#This Row],[Closed Date:]]-Log_2026[[#This Row],[Date of Complaint:]])</f>
        <v/>
      </c>
      <c r="W156" s="30"/>
      <c r="X156" s="30"/>
      <c r="Y156" s="59"/>
    </row>
    <row r="157" spans="1:26" x14ac:dyDescent="0.3">
      <c r="A157" s="6" cm="1">
        <f t="array" ref="A157">ROW()-ROW(Log_2026[#Headers])</f>
        <v>154</v>
      </c>
      <c r="B157" s="8" t="str">
        <f xml:space="preserve"> Log_2026[[#This Row],[Count]] &amp; "-26"</f>
        <v>154-26</v>
      </c>
      <c r="C157" s="9">
        <v>46162</v>
      </c>
      <c r="D157" s="2" t="s">
        <v>14</v>
      </c>
      <c r="E157" s="7" t="s">
        <v>497</v>
      </c>
      <c r="F157" t="s">
        <v>125</v>
      </c>
      <c r="G157">
        <f ca="1">IF(Log_2026[[#This Row],[Date of Complaint:]]="","",IF(Log_2026[[#This Row],[Closed Date:]]&lt;&gt;"","Closed",TODAY()-Log_2026[[#This Row],[Date of Complaint:]]))</f>
        <v>4</v>
      </c>
      <c r="H157" t="s">
        <v>137</v>
      </c>
      <c r="I157" s="12" t="s">
        <v>59</v>
      </c>
      <c r="K157" s="8" t="s">
        <v>11</v>
      </c>
      <c r="L157" s="1" t="s">
        <v>134</v>
      </c>
      <c r="M157" s="9">
        <v>46162</v>
      </c>
      <c r="N157" s="9" t="s">
        <v>229</v>
      </c>
      <c r="O157" s="9" t="str">
        <f>_xlfn.XLOOKUP(Log_2026[[#This Row],[Requestor name]], ID_Key[Requestor name], ID_Key[Requestor ID], "")</f>
        <v>RID0003</v>
      </c>
      <c r="P157" s="7"/>
      <c r="Q157" s="50">
        <v>46167</v>
      </c>
      <c r="S157" s="28" t="str">
        <f>IF(OR(Log_2026[[#This Row],[Closed Date:]]="",Log_2026[[#This Row],[Closed Date:]]&lt;Log_2026[[#This Row],[Date of Complaint:]]),"",Log_2026[[#This Row],[Closed Date:]]-Log_2026[[#This Row],[Date of Complaint:]])</f>
        <v/>
      </c>
      <c r="W157" s="30"/>
      <c r="X157" s="30"/>
      <c r="Y157" s="59"/>
    </row>
    <row r="159" spans="1:26" x14ac:dyDescent="0.3">
      <c r="C159" s="8"/>
      <c r="E159" s="2"/>
      <c r="F159" s="8"/>
      <c r="G159" s="8"/>
      <c r="H159" s="8"/>
      <c r="I159" s="8"/>
      <c r="J159" s="8"/>
      <c r="L159" s="8"/>
      <c r="M159" s="8"/>
      <c r="N159" s="8"/>
      <c r="O159" s="8"/>
      <c r="P159" s="8"/>
      <c r="Q159" s="53"/>
      <c r="R159" s="8"/>
      <c r="S159" s="8"/>
      <c r="T159" s="8"/>
      <c r="U159" s="8"/>
      <c r="V159" s="8"/>
      <c r="W159" s="8"/>
      <c r="X159" s="8"/>
      <c r="Y159" s="54"/>
      <c r="Z159" s="8"/>
    </row>
  </sheetData>
  <phoneticPr fontId="2" type="noConversion"/>
  <dataValidations count="2">
    <dataValidation type="list" allowBlank="1" showInputMessage="1" showErrorMessage="1" sqref="I4:I157" xr:uid="{3BEC1A81-C979-49A7-BB5C-6E911EB461A4}">
      <formula1>Primary_Status</formula1>
    </dataValidation>
    <dataValidation type="list" allowBlank="1" showInputMessage="1" showErrorMessage="1" sqref="J4:J157" xr:uid="{EFF6D4A4-5D79-42E0-99DA-4928F9D27FD8}">
      <formula1>Secondary_Status</formula1>
    </dataValidation>
  </dataValidations>
  <hyperlinks>
    <hyperlink ref="P57" r:id="rId1" xr:uid="{6654061A-E5EF-4DEC-9338-93CE6DD0E752}"/>
    <hyperlink ref="P58" r:id="rId2" xr:uid="{2B881E0A-F403-400D-A02A-9A59421F1398}"/>
    <hyperlink ref="P60" r:id="rId3" xr:uid="{6EA8C700-E526-4EA8-86F9-73148E73DE74}"/>
    <hyperlink ref="P61" r:id="rId4" xr:uid="{9A507329-56A3-4226-9F97-E2932898FA03}"/>
    <hyperlink ref="P67" r:id="rId5" xr:uid="{6C524879-249E-4534-8CCA-6F5A3E4524B0}"/>
    <hyperlink ref="P68" r:id="rId6" xr:uid="{2E1275EC-CDDA-4CE5-8C89-700F8E9F8798}"/>
  </hyperlinks>
  <pageMargins left="0.7" right="0.7" top="0.75" bottom="0.75" header="0.3" footer="0.3"/>
  <pageSetup scale="23" fitToHeight="0" orientation="landscape"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38059-66C1-4AB8-ADF9-5F2C6E56188C}">
  <dimension ref="A1:B106"/>
  <sheetViews>
    <sheetView workbookViewId="0">
      <selection activeCell="A5" sqref="A5"/>
    </sheetView>
  </sheetViews>
  <sheetFormatPr defaultRowHeight="14.4" x14ac:dyDescent="0.3"/>
  <cols>
    <col min="1" max="1" width="16.88671875" bestFit="1" customWidth="1"/>
    <col min="2" max="2" width="13.33203125" bestFit="1" customWidth="1"/>
  </cols>
  <sheetData>
    <row r="1" spans="1:2" ht="15" thickBot="1" x14ac:dyDescent="0.35">
      <c r="A1" s="14" t="s">
        <v>48</v>
      </c>
      <c r="B1" s="14" t="s">
        <v>49</v>
      </c>
    </row>
    <row r="2" spans="1:2" x14ac:dyDescent="0.3">
      <c r="A2" t="s">
        <v>172</v>
      </c>
      <c r="B2" t="s">
        <v>498</v>
      </c>
    </row>
    <row r="3" spans="1:2" x14ac:dyDescent="0.3">
      <c r="A3" t="s">
        <v>190</v>
      </c>
      <c r="B3" t="s">
        <v>499</v>
      </c>
    </row>
    <row r="4" spans="1:2" x14ac:dyDescent="0.3">
      <c r="A4" t="s">
        <v>229</v>
      </c>
      <c r="B4" t="s">
        <v>342</v>
      </c>
    </row>
    <row r="5" spans="1:2" x14ac:dyDescent="0.3">
      <c r="A5" t="s">
        <v>110</v>
      </c>
      <c r="B5" t="s">
        <v>500</v>
      </c>
    </row>
    <row r="6" spans="1:2" x14ac:dyDescent="0.3">
      <c r="A6" t="s">
        <v>143</v>
      </c>
      <c r="B6" t="s">
        <v>501</v>
      </c>
    </row>
    <row r="7" spans="1:2" x14ac:dyDescent="0.3">
      <c r="A7" t="s">
        <v>187</v>
      </c>
      <c r="B7" t="s">
        <v>502</v>
      </c>
    </row>
    <row r="8" spans="1:2" x14ac:dyDescent="0.3">
      <c r="A8" t="s">
        <v>69</v>
      </c>
      <c r="B8" t="s">
        <v>503</v>
      </c>
    </row>
    <row r="9" spans="1:2" x14ac:dyDescent="0.3">
      <c r="A9" t="s">
        <v>26</v>
      </c>
      <c r="B9" t="s">
        <v>504</v>
      </c>
    </row>
    <row r="10" spans="1:2" x14ac:dyDescent="0.3">
      <c r="A10" t="s">
        <v>201</v>
      </c>
      <c r="B10" t="s">
        <v>505</v>
      </c>
    </row>
    <row r="11" spans="1:2" x14ac:dyDescent="0.3">
      <c r="A11" t="s">
        <v>29</v>
      </c>
      <c r="B11" t="s">
        <v>506</v>
      </c>
    </row>
    <row r="12" spans="1:2" x14ac:dyDescent="0.3">
      <c r="A12" t="s">
        <v>165</v>
      </c>
      <c r="B12" t="s">
        <v>507</v>
      </c>
    </row>
    <row r="13" spans="1:2" x14ac:dyDescent="0.3">
      <c r="A13" t="s">
        <v>130</v>
      </c>
      <c r="B13" t="s">
        <v>508</v>
      </c>
    </row>
    <row r="14" spans="1:2" x14ac:dyDescent="0.3">
      <c r="A14" t="s">
        <v>168</v>
      </c>
      <c r="B14" t="s">
        <v>509</v>
      </c>
    </row>
    <row r="15" spans="1:2" x14ac:dyDescent="0.3">
      <c r="A15" t="s">
        <v>97</v>
      </c>
      <c r="B15" t="s">
        <v>510</v>
      </c>
    </row>
    <row r="16" spans="1:2" x14ac:dyDescent="0.3">
      <c r="A16" t="s">
        <v>92</v>
      </c>
      <c r="B16" t="s">
        <v>511</v>
      </c>
    </row>
    <row r="17" spans="1:2" x14ac:dyDescent="0.3">
      <c r="A17" t="s">
        <v>162</v>
      </c>
      <c r="B17" t="s">
        <v>512</v>
      </c>
    </row>
    <row r="18" spans="1:2" x14ac:dyDescent="0.3">
      <c r="A18" t="s">
        <v>138</v>
      </c>
      <c r="B18" t="s">
        <v>513</v>
      </c>
    </row>
    <row r="19" spans="1:2" x14ac:dyDescent="0.3">
      <c r="A19" t="s">
        <v>106</v>
      </c>
      <c r="B19" t="s">
        <v>514</v>
      </c>
    </row>
    <row r="20" spans="1:2" x14ac:dyDescent="0.3">
      <c r="A20" t="s">
        <v>126</v>
      </c>
      <c r="B20" t="s">
        <v>515</v>
      </c>
    </row>
    <row r="21" spans="1:2" x14ac:dyDescent="0.3">
      <c r="A21" t="s">
        <v>122</v>
      </c>
      <c r="B21" t="s">
        <v>516</v>
      </c>
    </row>
    <row r="22" spans="1:2" x14ac:dyDescent="0.3">
      <c r="A22" t="s">
        <v>101</v>
      </c>
      <c r="B22" t="s">
        <v>517</v>
      </c>
    </row>
    <row r="23" spans="1:2" x14ac:dyDescent="0.3">
      <c r="A23" t="s">
        <v>220</v>
      </c>
      <c r="B23" t="s">
        <v>518</v>
      </c>
    </row>
    <row r="24" spans="1:2" x14ac:dyDescent="0.3">
      <c r="A24" t="s">
        <v>79</v>
      </c>
      <c r="B24" t="s">
        <v>519</v>
      </c>
    </row>
    <row r="25" spans="1:2" x14ac:dyDescent="0.3">
      <c r="A25" t="s">
        <v>74</v>
      </c>
      <c r="B25" t="s">
        <v>520</v>
      </c>
    </row>
    <row r="26" spans="1:2" x14ac:dyDescent="0.3">
      <c r="A26" t="s">
        <v>65</v>
      </c>
      <c r="B26" t="s">
        <v>521</v>
      </c>
    </row>
    <row r="27" spans="1:2" x14ac:dyDescent="0.3">
      <c r="A27" t="s">
        <v>176</v>
      </c>
      <c r="B27" t="s">
        <v>522</v>
      </c>
    </row>
    <row r="28" spans="1:2" x14ac:dyDescent="0.3">
      <c r="A28" t="s">
        <v>157</v>
      </c>
      <c r="B28" t="s">
        <v>523</v>
      </c>
    </row>
    <row r="29" spans="1:2" x14ac:dyDescent="0.3">
      <c r="A29" t="s">
        <v>150</v>
      </c>
      <c r="B29" t="s">
        <v>524</v>
      </c>
    </row>
    <row r="30" spans="1:2" x14ac:dyDescent="0.3">
      <c r="A30" t="s">
        <v>112</v>
      </c>
      <c r="B30" t="s">
        <v>525</v>
      </c>
    </row>
    <row r="31" spans="1:2" x14ac:dyDescent="0.3">
      <c r="A31" t="s">
        <v>61</v>
      </c>
      <c r="B31" t="s">
        <v>526</v>
      </c>
    </row>
    <row r="32" spans="1:2" x14ac:dyDescent="0.3">
      <c r="A32" t="s">
        <v>194</v>
      </c>
      <c r="B32" t="s">
        <v>527</v>
      </c>
    </row>
    <row r="33" spans="1:2" x14ac:dyDescent="0.3">
      <c r="A33" t="s">
        <v>83</v>
      </c>
      <c r="B33" t="s">
        <v>528</v>
      </c>
    </row>
    <row r="34" spans="1:2" x14ac:dyDescent="0.3">
      <c r="A34" t="s">
        <v>206</v>
      </c>
      <c r="B34" t="s">
        <v>529</v>
      </c>
    </row>
    <row r="35" spans="1:2" x14ac:dyDescent="0.3">
      <c r="A35" t="s">
        <v>183</v>
      </c>
      <c r="B35" t="s">
        <v>530</v>
      </c>
    </row>
    <row r="36" spans="1:2" x14ac:dyDescent="0.3">
      <c r="A36" t="s">
        <v>87</v>
      </c>
      <c r="B36" t="s">
        <v>531</v>
      </c>
    </row>
    <row r="37" spans="1:2" x14ac:dyDescent="0.3">
      <c r="A37" t="s">
        <v>118</v>
      </c>
      <c r="B37" t="s">
        <v>532</v>
      </c>
    </row>
    <row r="38" spans="1:2" x14ac:dyDescent="0.3">
      <c r="A38" t="s">
        <v>211</v>
      </c>
      <c r="B38" t="s">
        <v>533</v>
      </c>
    </row>
    <row r="39" spans="1:2" x14ac:dyDescent="0.3">
      <c r="A39" t="s">
        <v>225</v>
      </c>
      <c r="B39" t="s">
        <v>534</v>
      </c>
    </row>
    <row r="40" spans="1:2" x14ac:dyDescent="0.3">
      <c r="A40" t="s">
        <v>232</v>
      </c>
      <c r="B40" t="s">
        <v>535</v>
      </c>
    </row>
    <row r="41" spans="1:2" x14ac:dyDescent="0.3">
      <c r="A41" t="s">
        <v>236</v>
      </c>
      <c r="B41" t="s">
        <v>536</v>
      </c>
    </row>
    <row r="42" spans="1:2" x14ac:dyDescent="0.3">
      <c r="A42" t="s">
        <v>239</v>
      </c>
      <c r="B42" t="s">
        <v>537</v>
      </c>
    </row>
    <row r="43" spans="1:2" x14ac:dyDescent="0.3">
      <c r="A43" t="s">
        <v>242</v>
      </c>
      <c r="B43" t="s">
        <v>538</v>
      </c>
    </row>
    <row r="44" spans="1:2" x14ac:dyDescent="0.3">
      <c r="A44" s="9" t="s">
        <v>247</v>
      </c>
      <c r="B44" t="s">
        <v>539</v>
      </c>
    </row>
    <row r="45" spans="1:2" x14ac:dyDescent="0.3">
      <c r="A45" s="9" t="s">
        <v>250</v>
      </c>
      <c r="B45" t="s">
        <v>540</v>
      </c>
    </row>
    <row r="46" spans="1:2" x14ac:dyDescent="0.3">
      <c r="A46" s="9" t="s">
        <v>253</v>
      </c>
      <c r="B46" t="s">
        <v>541</v>
      </c>
    </row>
    <row r="47" spans="1:2" x14ac:dyDescent="0.3">
      <c r="A47" s="9" t="s">
        <v>259</v>
      </c>
      <c r="B47" t="s">
        <v>542</v>
      </c>
    </row>
    <row r="48" spans="1:2" x14ac:dyDescent="0.3">
      <c r="A48" s="9" t="s">
        <v>265</v>
      </c>
      <c r="B48" t="s">
        <v>543</v>
      </c>
    </row>
    <row r="49" spans="1:2" x14ac:dyDescent="0.3">
      <c r="A49" t="s">
        <v>269</v>
      </c>
      <c r="B49" t="s">
        <v>544</v>
      </c>
    </row>
    <row r="50" spans="1:2" x14ac:dyDescent="0.3">
      <c r="A50" t="s">
        <v>273</v>
      </c>
      <c r="B50" t="s">
        <v>545</v>
      </c>
    </row>
    <row r="51" spans="1:2" x14ac:dyDescent="0.3">
      <c r="A51" t="s">
        <v>15</v>
      </c>
      <c r="B51" t="s">
        <v>546</v>
      </c>
    </row>
    <row r="52" spans="1:2" x14ac:dyDescent="0.3">
      <c r="A52" t="s">
        <v>278</v>
      </c>
      <c r="B52" t="s">
        <v>547</v>
      </c>
    </row>
    <row r="53" spans="1:2" x14ac:dyDescent="0.3">
      <c r="A53" t="s">
        <v>281</v>
      </c>
      <c r="B53" t="s">
        <v>548</v>
      </c>
    </row>
    <row r="54" spans="1:2" x14ac:dyDescent="0.3">
      <c r="A54" t="s">
        <v>286</v>
      </c>
      <c r="B54" t="s">
        <v>549</v>
      </c>
    </row>
    <row r="55" spans="1:2" x14ac:dyDescent="0.3">
      <c r="A55" t="s">
        <v>292</v>
      </c>
      <c r="B55" t="s">
        <v>550</v>
      </c>
    </row>
    <row r="56" spans="1:2" x14ac:dyDescent="0.3">
      <c r="A56" t="s">
        <v>297</v>
      </c>
      <c r="B56" t="s">
        <v>551</v>
      </c>
    </row>
    <row r="57" spans="1:2" x14ac:dyDescent="0.3">
      <c r="A57" t="s">
        <v>301</v>
      </c>
      <c r="B57" t="s">
        <v>552</v>
      </c>
    </row>
    <row r="58" spans="1:2" x14ac:dyDescent="0.3">
      <c r="A58" t="s">
        <v>308</v>
      </c>
      <c r="B58" t="s">
        <v>553</v>
      </c>
    </row>
    <row r="59" spans="1:2" x14ac:dyDescent="0.3">
      <c r="A59" t="s">
        <v>312</v>
      </c>
      <c r="B59" t="s">
        <v>554</v>
      </c>
    </row>
    <row r="60" spans="1:2" x14ac:dyDescent="0.3">
      <c r="A60" t="s">
        <v>314</v>
      </c>
      <c r="B60" t="s">
        <v>555</v>
      </c>
    </row>
    <row r="61" spans="1:2" x14ac:dyDescent="0.3">
      <c r="A61" t="s">
        <v>317</v>
      </c>
      <c r="B61" t="s">
        <v>556</v>
      </c>
    </row>
    <row r="62" spans="1:2" x14ac:dyDescent="0.3">
      <c r="A62" t="s">
        <v>323</v>
      </c>
      <c r="B62" t="s">
        <v>557</v>
      </c>
    </row>
    <row r="63" spans="1:2" x14ac:dyDescent="0.3">
      <c r="A63" t="s">
        <v>326</v>
      </c>
      <c r="B63" t="s">
        <v>558</v>
      </c>
    </row>
    <row r="64" spans="1:2" x14ac:dyDescent="0.3">
      <c r="A64" t="s">
        <v>330</v>
      </c>
      <c r="B64" t="s">
        <v>559</v>
      </c>
    </row>
    <row r="65" spans="1:2" x14ac:dyDescent="0.3">
      <c r="A65" t="s">
        <v>332</v>
      </c>
      <c r="B65" t="s">
        <v>560</v>
      </c>
    </row>
    <row r="66" spans="1:2" x14ac:dyDescent="0.3">
      <c r="A66" t="s">
        <v>336</v>
      </c>
      <c r="B66" t="s">
        <v>561</v>
      </c>
    </row>
    <row r="67" spans="1:2" x14ac:dyDescent="0.3">
      <c r="A67" t="s">
        <v>344</v>
      </c>
      <c r="B67" t="s">
        <v>562</v>
      </c>
    </row>
    <row r="68" spans="1:2" x14ac:dyDescent="0.3">
      <c r="A68" t="s">
        <v>346</v>
      </c>
      <c r="B68" t="s">
        <v>563</v>
      </c>
    </row>
    <row r="69" spans="1:2" x14ac:dyDescent="0.3">
      <c r="A69" t="s">
        <v>352</v>
      </c>
      <c r="B69" t="s">
        <v>564</v>
      </c>
    </row>
    <row r="70" spans="1:2" x14ac:dyDescent="0.3">
      <c r="A70" t="s">
        <v>357</v>
      </c>
      <c r="B70" t="s">
        <v>565</v>
      </c>
    </row>
    <row r="71" spans="1:2" x14ac:dyDescent="0.3">
      <c r="A71" t="s">
        <v>360</v>
      </c>
      <c r="B71" t="s">
        <v>566</v>
      </c>
    </row>
    <row r="72" spans="1:2" x14ac:dyDescent="0.3">
      <c r="A72" t="s">
        <v>363</v>
      </c>
      <c r="B72" t="s">
        <v>567</v>
      </c>
    </row>
    <row r="73" spans="1:2" x14ac:dyDescent="0.3">
      <c r="A73" t="s">
        <v>365</v>
      </c>
      <c r="B73" t="s">
        <v>568</v>
      </c>
    </row>
    <row r="74" spans="1:2" x14ac:dyDescent="0.3">
      <c r="A74" t="s">
        <v>368</v>
      </c>
      <c r="B74" t="s">
        <v>569</v>
      </c>
    </row>
    <row r="75" spans="1:2" x14ac:dyDescent="0.3">
      <c r="A75" t="s">
        <v>374</v>
      </c>
      <c r="B75" t="s">
        <v>570</v>
      </c>
    </row>
    <row r="76" spans="1:2" x14ac:dyDescent="0.3">
      <c r="A76" t="s">
        <v>376</v>
      </c>
      <c r="B76" t="s">
        <v>571</v>
      </c>
    </row>
    <row r="77" spans="1:2" x14ac:dyDescent="0.3">
      <c r="A77" t="s">
        <v>382</v>
      </c>
      <c r="B77" t="s">
        <v>572</v>
      </c>
    </row>
    <row r="78" spans="1:2" x14ac:dyDescent="0.3">
      <c r="A78" t="s">
        <v>390</v>
      </c>
      <c r="B78" t="s">
        <v>573</v>
      </c>
    </row>
    <row r="79" spans="1:2" x14ac:dyDescent="0.3">
      <c r="A79" t="s">
        <v>394</v>
      </c>
      <c r="B79" t="s">
        <v>574</v>
      </c>
    </row>
    <row r="80" spans="1:2" x14ac:dyDescent="0.3">
      <c r="A80" t="s">
        <v>398</v>
      </c>
      <c r="B80" t="s">
        <v>575</v>
      </c>
    </row>
    <row r="81" spans="1:2" x14ac:dyDescent="0.3">
      <c r="A81" t="s">
        <v>402</v>
      </c>
      <c r="B81" t="s">
        <v>576</v>
      </c>
    </row>
    <row r="82" spans="1:2" x14ac:dyDescent="0.3">
      <c r="A82" t="s">
        <v>404</v>
      </c>
      <c r="B82" t="s">
        <v>577</v>
      </c>
    </row>
    <row r="83" spans="1:2" x14ac:dyDescent="0.3">
      <c r="A83" t="s">
        <v>407</v>
      </c>
      <c r="B83" t="s">
        <v>578</v>
      </c>
    </row>
    <row r="84" spans="1:2" x14ac:dyDescent="0.3">
      <c r="A84" t="s">
        <v>411</v>
      </c>
      <c r="B84" t="s">
        <v>579</v>
      </c>
    </row>
    <row r="85" spans="1:2" x14ac:dyDescent="0.3">
      <c r="A85" t="s">
        <v>417</v>
      </c>
      <c r="B85" t="s">
        <v>580</v>
      </c>
    </row>
    <row r="86" spans="1:2" x14ac:dyDescent="0.3">
      <c r="A86" t="s">
        <v>419</v>
      </c>
      <c r="B86" t="s">
        <v>581</v>
      </c>
    </row>
    <row r="87" spans="1:2" x14ac:dyDescent="0.3">
      <c r="A87" t="s">
        <v>427</v>
      </c>
      <c r="B87" t="s">
        <v>582</v>
      </c>
    </row>
    <row r="88" spans="1:2" x14ac:dyDescent="0.3">
      <c r="A88" t="s">
        <v>429</v>
      </c>
      <c r="B88" t="s">
        <v>583</v>
      </c>
    </row>
    <row r="89" spans="1:2" x14ac:dyDescent="0.3">
      <c r="A89" t="s">
        <v>432</v>
      </c>
      <c r="B89" t="s">
        <v>584</v>
      </c>
    </row>
    <row r="90" spans="1:2" x14ac:dyDescent="0.3">
      <c r="A90" t="s">
        <v>434</v>
      </c>
      <c r="B90" t="s">
        <v>585</v>
      </c>
    </row>
    <row r="91" spans="1:2" x14ac:dyDescent="0.3">
      <c r="A91" t="s">
        <v>437</v>
      </c>
      <c r="B91" t="s">
        <v>586</v>
      </c>
    </row>
    <row r="92" spans="1:2" x14ac:dyDescent="0.3">
      <c r="A92" t="s">
        <v>442</v>
      </c>
      <c r="B92" t="s">
        <v>587</v>
      </c>
    </row>
    <row r="93" spans="1:2" x14ac:dyDescent="0.3">
      <c r="A93" t="s">
        <v>445</v>
      </c>
      <c r="B93" t="s">
        <v>588</v>
      </c>
    </row>
    <row r="94" spans="1:2" x14ac:dyDescent="0.3">
      <c r="A94" t="s">
        <v>447</v>
      </c>
      <c r="B94" t="s">
        <v>589</v>
      </c>
    </row>
    <row r="95" spans="1:2" x14ac:dyDescent="0.3">
      <c r="A95" t="s">
        <v>451</v>
      </c>
      <c r="B95" t="s">
        <v>590</v>
      </c>
    </row>
    <row r="96" spans="1:2" x14ac:dyDescent="0.3">
      <c r="A96" t="s">
        <v>454</v>
      </c>
      <c r="B96" t="s">
        <v>591</v>
      </c>
    </row>
    <row r="97" spans="1:2" x14ac:dyDescent="0.3">
      <c r="A97" t="s">
        <v>457</v>
      </c>
      <c r="B97" t="s">
        <v>592</v>
      </c>
    </row>
    <row r="98" spans="1:2" x14ac:dyDescent="0.3">
      <c r="A98" t="s">
        <v>464</v>
      </c>
      <c r="B98" t="s">
        <v>593</v>
      </c>
    </row>
    <row r="99" spans="1:2" x14ac:dyDescent="0.3">
      <c r="A99" t="s">
        <v>466</v>
      </c>
      <c r="B99" t="s">
        <v>594</v>
      </c>
    </row>
    <row r="100" spans="1:2" x14ac:dyDescent="0.3">
      <c r="A100" t="s">
        <v>472</v>
      </c>
      <c r="B100" t="s">
        <v>595</v>
      </c>
    </row>
    <row r="101" spans="1:2" x14ac:dyDescent="0.3">
      <c r="A101" t="s">
        <v>476</v>
      </c>
      <c r="B101" t="s">
        <v>596</v>
      </c>
    </row>
    <row r="102" spans="1:2" x14ac:dyDescent="0.3">
      <c r="A102" t="s">
        <v>478</v>
      </c>
      <c r="B102" t="s">
        <v>597</v>
      </c>
    </row>
    <row r="103" spans="1:2" x14ac:dyDescent="0.3">
      <c r="A103" t="s">
        <v>481</v>
      </c>
      <c r="B103" t="s">
        <v>598</v>
      </c>
    </row>
    <row r="104" spans="1:2" x14ac:dyDescent="0.3">
      <c r="A104" t="s">
        <v>483</v>
      </c>
      <c r="B104" t="s">
        <v>599</v>
      </c>
    </row>
    <row r="105" spans="1:2" x14ac:dyDescent="0.3">
      <c r="A105" t="s">
        <v>488</v>
      </c>
      <c r="B105" t="s">
        <v>600</v>
      </c>
    </row>
    <row r="106" spans="1:2" x14ac:dyDescent="0.3">
      <c r="A106" t="s">
        <v>491</v>
      </c>
      <c r="B106" t="s">
        <v>601</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C70A-BA38-4A7A-A16E-2FCB84FF3C3A}">
  <dimension ref="A1:C13"/>
  <sheetViews>
    <sheetView workbookViewId="0">
      <selection activeCell="C13" sqref="C13"/>
    </sheetView>
  </sheetViews>
  <sheetFormatPr defaultRowHeight="14.4" x14ac:dyDescent="0.3"/>
  <cols>
    <col min="1" max="1" width="30.109375" bestFit="1" customWidth="1"/>
    <col min="3" max="3" width="44.44140625" bestFit="1" customWidth="1"/>
  </cols>
  <sheetData>
    <row r="1" spans="1:3" x14ac:dyDescent="0.3">
      <c r="A1" s="18" t="s">
        <v>45</v>
      </c>
      <c r="C1" s="18" t="s">
        <v>46</v>
      </c>
    </row>
    <row r="2" spans="1:3" x14ac:dyDescent="0.3">
      <c r="A2" t="s">
        <v>59</v>
      </c>
      <c r="C2" t="s">
        <v>602</v>
      </c>
    </row>
    <row r="3" spans="1:3" x14ac:dyDescent="0.3">
      <c r="A3" t="s">
        <v>22</v>
      </c>
      <c r="C3" t="s">
        <v>142</v>
      </c>
    </row>
    <row r="4" spans="1:3" x14ac:dyDescent="0.3">
      <c r="C4" t="s">
        <v>216</v>
      </c>
    </row>
    <row r="5" spans="1:3" x14ac:dyDescent="0.3">
      <c r="C5" t="s">
        <v>603</v>
      </c>
    </row>
    <row r="6" spans="1:3" x14ac:dyDescent="0.3">
      <c r="C6" t="s">
        <v>604</v>
      </c>
    </row>
    <row r="7" spans="1:3" x14ac:dyDescent="0.3">
      <c r="C7" t="s">
        <v>605</v>
      </c>
    </row>
    <row r="8" spans="1:3" x14ac:dyDescent="0.3">
      <c r="C8" t="s">
        <v>219</v>
      </c>
    </row>
    <row r="9" spans="1:3" x14ac:dyDescent="0.3">
      <c r="C9" t="s">
        <v>64</v>
      </c>
    </row>
    <row r="10" spans="1:3" x14ac:dyDescent="0.3">
      <c r="C10" t="s">
        <v>606</v>
      </c>
    </row>
    <row r="11" spans="1:3" x14ac:dyDescent="0.3">
      <c r="C11" t="s">
        <v>264</v>
      </c>
    </row>
    <row r="12" spans="1:3" x14ac:dyDescent="0.3">
      <c r="C12" t="s">
        <v>60</v>
      </c>
    </row>
    <row r="13" spans="1:3" x14ac:dyDescent="0.3">
      <c r="C13" t="s">
        <v>116</v>
      </c>
    </row>
  </sheetData>
  <pageMargins left="0.7" right="0.7" top="0.75" bottom="0.75" header="0.3" footer="0.3"/>
  <pageSetup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2026</vt:lpstr>
      <vt:lpstr>Requestor ID Key</vt:lpstr>
      <vt:lpstr>Status Lists</vt:lpstr>
      <vt:lpstr>Primary_Status</vt:lpstr>
      <vt:lpstr>Secondary_Status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LJones</dc:creator>
  <cp:keywords/>
  <dc:description/>
  <cp:lastModifiedBy>Brenda Rees</cp:lastModifiedBy>
  <cp:revision/>
  <dcterms:created xsi:type="dcterms:W3CDTF">2022-08-16T15:45:38Z</dcterms:created>
  <dcterms:modified xsi:type="dcterms:W3CDTF">2026-05-24T14:25:00Z</dcterms:modified>
  <cp:category/>
  <cp:contentStatus/>
</cp:coreProperties>
</file>